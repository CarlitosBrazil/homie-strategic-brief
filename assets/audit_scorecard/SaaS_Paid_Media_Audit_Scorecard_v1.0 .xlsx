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SaaS Audit Worksheet" sheetId="2" r:id="rId5"/>
  </sheets>
  <definedNames/>
  <calcPr/>
  <extLst>
    <ext uri="GoogleSheetsCustomDataVersion2">
      <go:sheetsCustomData xmlns:go="http://customooxmlschemas.google.com/" r:id="rId6" roundtripDataChecksum="3fHKkte5+myrmRwLoQEuNrgN1a6w+YeA8BVLmtOBU7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5">
      <text>
        <t xml:space="preserve">======
ID#AAAB1bccVN0
OpenAI    (2026-03-07 08:15:19)
Write the action that would improve this area, not just the problem statement.</t>
      </text>
    </comment>
    <comment authorId="0" ref="D5">
      <text>
        <t xml:space="preserve">======
ID#AAAB1bccVN4
OpenAI    (2026-03-07 08:15:19)
User input: 1 = weak / missing, 3 = functional, 5 = advanced / scalable.</t>
      </text>
    </comment>
    <comment authorId="0" ref="G5">
      <text>
        <t xml:space="preserve">======
ID#AAAB1bccVNw
OpenAI    (2026-03-07 08:15:19)
Capture evidence, examples, broken steps, or specific observations here.</t>
      </text>
    </comment>
  </commentList>
  <extLst>
    <ext uri="GoogleSheetsCustomDataVersion2">
      <go:sheetsCustomData xmlns:go="http://customooxmlschemas.google.com/" r:id="rId1" roundtripDataSignature="AMtx7mh3BBTzVuovRDk2UrPHj/8DrHWklA=="/>
    </ext>
  </extLst>
</comments>
</file>

<file path=xl/sharedStrings.xml><?xml version="1.0" encoding="utf-8"?>
<sst xmlns="http://schemas.openxmlformats.org/spreadsheetml/2006/main" count="226" uniqueCount="159">
  <si>
    <t>B2B SaaS Paid Media Audit
Overview &amp; Score Summary</t>
  </si>
  <si>
    <t>Weighted score</t>
  </si>
  <si>
    <t>Max score</t>
  </si>
  <si>
    <t>Audit maturity</t>
  </si>
  <si>
    <t>Status</t>
  </si>
  <si>
    <t>Company</t>
  </si>
  <si>
    <t>Website</t>
  </si>
  <si>
    <t>1</t>
  </si>
  <si>
    <t>Weak / missing</t>
  </si>
  <si>
    <t>3</t>
  </si>
  <si>
    <t>Functional</t>
  </si>
  <si>
    <t>5</t>
  </si>
  <si>
    <t>Advanced / scalable</t>
  </si>
  <si>
    <t>Auditor</t>
  </si>
  <si>
    <t>Use this scorecard to evaluate whether a SaaS paid media program is built for qualified pipeline and scalable growth. The strongest teams optimize toward downstream quality, keep platform claims separate from CRM truth, and build creative around concepts and buyer pain rather than surface metrics.</t>
  </si>
  <si>
    <t>Audit date</t>
  </si>
  <si>
    <t>Version</t>
  </si>
  <si>
    <t>SaaS v1.0</t>
  </si>
  <si>
    <t>Section</t>
  </si>
  <si>
    <t>Max</t>
  </si>
  <si>
    <t>% of max</t>
  </si>
  <si>
    <t>Priority note</t>
  </si>
  <si>
    <t>Revenue Alignment &amp; KPI Logic</t>
  </si>
  <si>
    <t>ICP, Segmentation &amp; Market Focus</t>
  </si>
  <si>
    <t>Conversion Signals &amp; Offline Feedback</t>
  </si>
  <si>
    <t>Tracking, Attribution &amp; Source Integrity</t>
  </si>
  <si>
    <t>Full-Funnel Campaign Structure</t>
  </si>
  <si>
    <t>Offer, Messaging &amp; Positioning</t>
  </si>
  <si>
    <t>Creative System &amp; Content Diversification</t>
  </si>
  <si>
    <t>Landing Pages &amp; Conversion Path</t>
  </si>
  <si>
    <t>Sales Alignment &amp; Lead Quality Loop</t>
  </si>
  <si>
    <t>Testing Discipline &amp; Experimentation</t>
  </si>
  <si>
    <t>Reporting &amp; Decision Quality</t>
  </si>
  <si>
    <t>Operational Scalability &amp; Automation</t>
  </si>
  <si>
    <t>Priority actions</t>
  </si>
  <si>
    <t>1st priority</t>
  </si>
  <si>
    <t>2nd priority</t>
  </si>
  <si>
    <t>3rd priority</t>
  </si>
  <si>
    <t>B2B SaaS Paid Media Audit Scorecard</t>
  </si>
  <si>
    <t>Score each audit item from 1 to 5. Use the notes columns to capture evidence and actions. This version is tuned for SaaS / AI SaaS / B2B pipeline generation.</t>
  </si>
  <si>
    <t>No</t>
  </si>
  <si>
    <t>Audit Item</t>
  </si>
  <si>
    <t>Rating
(1-5)</t>
  </si>
  <si>
    <t>Weight</t>
  </si>
  <si>
    <t>Weighted
Score</t>
  </si>
  <si>
    <t>Evidence / Findings</t>
  </si>
  <si>
    <t>Recommendation / Next Step</t>
  </si>
  <si>
    <t>Priority</t>
  </si>
  <si>
    <t>Owner / Notes</t>
  </si>
  <si>
    <t>1. Revenue Alignment &amp; KPI Logic</t>
  </si>
  <si>
    <t>1.1</t>
  </si>
  <si>
    <t>Is paid media optimization aligned to pipeline and revenue rather than raw lead volume?</t>
  </si>
  <si>
    <t>1.2</t>
  </si>
  <si>
    <t>Are stage definitions clear (MQL, SQL, Opportunity, Closed Won) and agreed with Sales?</t>
  </si>
  <si>
    <t>1.3</t>
  </si>
  <si>
    <t>Are primary steering metrics business-relevant (CAC, pipeline $, SQL rate, win rate, payback) rather than only CPL/CTR?</t>
  </si>
  <si>
    <t>1.T</t>
  </si>
  <si>
    <t>Section subtotal</t>
  </si>
  <si>
    <t>2. ICP, Segmentation &amp; Market Focus</t>
  </si>
  <si>
    <t>2.1</t>
  </si>
  <si>
    <t>Is there a clearly defined ICP with usable firmographic, technographic, and buying-intent criteria?</t>
  </si>
  <si>
    <t>2.2</t>
  </si>
  <si>
    <t>Are segments prioritized by revenue potential, fit, and sales velocity?</t>
  </si>
  <si>
    <t>2.3</t>
  </si>
  <si>
    <t>Are campaigns and messaging differentiated by segment, use case, or buyer role?</t>
  </si>
  <si>
    <t>2.T</t>
  </si>
  <si>
    <t>3. Conversion Signals &amp; Offline Feedback</t>
  </si>
  <si>
    <t>3.1</t>
  </si>
  <si>
    <t>Is the platform optimizing toward qualified events (demo qualified, SQL, opportunity) rather than just form fills?</t>
  </si>
  <si>
    <t>3.2</t>
  </si>
  <si>
    <t>Are offline conversions or CRM stages imported back into ad platforms where possible?</t>
  </si>
  <si>
    <t>3.3</t>
  </si>
  <si>
    <t>Are spam, duplicates, students, partners, and poor-fit leads excluded from the learning signal?</t>
  </si>
  <si>
    <t>3.4</t>
  </si>
  <si>
    <t>Is first-party data used to distinguish high-value from low-value outcomes?</t>
  </si>
  <si>
    <t>3.T</t>
  </si>
  <si>
    <t>4. Tracking, Attribution &amp; Source Integrity</t>
  </si>
  <si>
    <t>4.1</t>
  </si>
  <si>
    <t>Is tracking trustworthy across website, CRM, and ad platforms?</t>
  </si>
  <si>
    <t>4.2</t>
  </si>
  <si>
    <t>Are UTMs, channel mappings, and lead-source rules standardized?</t>
  </si>
  <si>
    <t>4.3</t>
  </si>
  <si>
    <t>Is there a clear primary source of truth outside ad platforms?</t>
  </si>
  <si>
    <t>4.4</t>
  </si>
  <si>
    <t>Does the team distinguish attribution from contribution/incrementality?</t>
  </si>
  <si>
    <t>4.T</t>
  </si>
  <si>
    <t>5. Full-Funnel Campaign Structure</t>
  </si>
  <si>
    <t>5.1</t>
  </si>
  <si>
    <t>Are Awareness, Consideration, and Conversion campaigns mapped to distinct jobs?</t>
  </si>
  <si>
    <t>5.2</t>
  </si>
  <si>
    <t>Is channel usage appropriate for the stage and buying motion?</t>
  </si>
  <si>
    <t>5.3</t>
  </si>
  <si>
    <t>Are remarketing and demand-capture activities interpreted carefully rather than treated as net-new by default?</t>
  </si>
  <si>
    <t>5.T</t>
  </si>
  <si>
    <t>6. Offer, Messaging &amp; Positioning</t>
  </si>
  <si>
    <t>6.1</t>
  </si>
  <si>
    <t>Is the core category story clear and specific (what it is, who it is for, why it matters now)?</t>
  </si>
  <si>
    <t>6.2</t>
  </si>
  <si>
    <t>Are message angles built around buyer pains, outcomes, objections, and proof?</t>
  </si>
  <si>
    <t>6.3</t>
  </si>
  <si>
    <t>Are creatives and landing pages adapted by persona, use case, or stage?</t>
  </si>
  <si>
    <t>6.4</t>
  </si>
  <si>
    <t>Is AI positioning concrete and differentiated rather than generic AI hype?</t>
  </si>
  <si>
    <t>6.T</t>
  </si>
  <si>
    <t>7. Creative System &amp; Content Diversification</t>
  </si>
  <si>
    <t>7.1</t>
  </si>
  <si>
    <t>Are creatives organized by concept rather than random asset naming?</t>
  </si>
  <si>
    <t>7.2</t>
  </si>
  <si>
    <t>Is there enough variation across product demo, use case, proof, objection handling, founder/expert, and offer?</t>
  </si>
  <si>
    <t>7.3</t>
  </si>
  <si>
    <t>Are winning concepts iterated with multiple hooks and executions?</t>
  </si>
  <si>
    <t>7.4</t>
  </si>
  <si>
    <t>Does spend concentration help identify winning concepts rather than trigger premature pausing?</t>
  </si>
  <si>
    <t>7.T</t>
  </si>
  <si>
    <t>8. Landing Pages &amp; Conversion Path</t>
  </si>
  <si>
    <t>8.1</t>
  </si>
  <si>
    <t>Is there strong message match between ad and landing page?</t>
  </si>
  <si>
    <t>8.2</t>
  </si>
  <si>
    <t>Is the page designed for the actual stage (education vs demo vs trial)?</t>
  </si>
  <si>
    <t>8.3</t>
  </si>
  <si>
    <t>Are proof elements present (logos, case studies, quantified results, trust cues)?</t>
  </si>
  <si>
    <t>8.4</t>
  </si>
  <si>
    <t>Is friction appropriate for intent level and sales motion?</t>
  </si>
  <si>
    <t>8.T</t>
  </si>
  <si>
    <t>9. Sales Alignment &amp; Lead Quality Loop</t>
  </si>
  <si>
    <t>9.1</t>
  </si>
  <si>
    <t>Is there a defined feedback loop from Sales to Marketing on lead quality?</t>
  </si>
  <si>
    <t>9.2</t>
  </si>
  <si>
    <t>Are rejection reasons reviewed and used to improve targeting, offers, and messaging?</t>
  </si>
  <si>
    <t>9.3</t>
  </si>
  <si>
    <t>Is follow-up speed and SDR/AE process considered when judging paid performance?</t>
  </si>
  <si>
    <t>9.4</t>
  </si>
  <si>
    <t>Are marketing and sales aligned on which accounts, personas, and triggers matter most?</t>
  </si>
  <si>
    <t>9.T</t>
  </si>
  <si>
    <t>10. Testing Discipline &amp; Experimentation</t>
  </si>
  <si>
    <t>10.1</t>
  </si>
  <si>
    <t>Are tests planned with a clear hypothesis, variable, success metric, and readout window?</t>
  </si>
  <si>
    <t>10.2</t>
  </si>
  <si>
    <t>Are channel, creative, offer, audience, and landing-page tests prioritized systematically?</t>
  </si>
  <si>
    <t>10.3</t>
  </si>
  <si>
    <t>Are learnings documented so the team compounds knowledge over time?</t>
  </si>
  <si>
    <t>10.T</t>
  </si>
  <si>
    <t>11. Reporting &amp; Decision Quality</t>
  </si>
  <si>
    <t>11.1</t>
  </si>
  <si>
    <t>Do reports separate platform metrics from CRM / pipeline truth?</t>
  </si>
  <si>
    <t>11.2</t>
  </si>
  <si>
    <t>Do reports explain implications and next actions rather than just show numbers?</t>
  </si>
  <si>
    <t>11.3</t>
  </si>
  <si>
    <t>Can leadership see spend -&gt; leads -&gt; SQLs -&gt; opportunities -&gt; revenue in one view?</t>
  </si>
  <si>
    <t>11.T</t>
  </si>
  <si>
    <t>12. Operational Scalability &amp; Automation</t>
  </si>
  <si>
    <t>12.1</t>
  </si>
  <si>
    <t>Are naming conventions, workflows, and QA processes documented?</t>
  </si>
  <si>
    <t>12.2</t>
  </si>
  <si>
    <t>Are automation and AI tools used to improve speed, reporting, and analysis without harming accuracy?</t>
  </si>
  <si>
    <t>12.3</t>
  </si>
  <si>
    <t>Could the system scale budget and complexity without becoming chaotic?</t>
  </si>
  <si>
    <t>12.T</t>
  </si>
  <si>
    <t>TOTAL</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</si>
</sst>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0.0%"/>
    <numFmt numFmtId="166" formatCode="yyyy\-mm\-dd"/>
  </numFmts>
  <fonts count="17">
    <font>
      <sz val="11.0"/>
      <color theme="1"/>
      <name val="Calibri"/>
      <scheme val="minor"/>
    </font>
    <font>
      <color theme="1"/>
      <name val="Century Gothic"/>
    </font>
    <font>
      <b/>
      <sz val="15.0"/>
      <color rgb="FFFFFFFF"/>
      <name val="Century Gothic"/>
    </font>
    <font/>
    <font>
      <b/>
      <sz val="11.0"/>
      <color rgb="FFFFFFFF"/>
      <name val="Century Gothic"/>
    </font>
    <font>
      <b/>
      <sz val="11.0"/>
      <color rgb="FF434343"/>
      <name val="Century Gothic"/>
    </font>
    <font>
      <sz val="11.0"/>
      <color rgb="FF0000FF"/>
      <name val="Century Gothic"/>
    </font>
    <font>
      <b/>
      <sz val="16.0"/>
      <color rgb="FF134F5C"/>
      <name val="Century Gothic"/>
    </font>
    <font>
      <b/>
      <sz val="12.0"/>
      <color rgb="FF134F5C"/>
      <name val="Century Gothic"/>
    </font>
    <font>
      <sz val="11.0"/>
      <color rgb="FF434343"/>
      <name val="Century Gothic"/>
    </font>
    <font>
      <b/>
      <sz val="10.0"/>
      <color rgb="FFFFFFFF"/>
      <name val="Century Gothic"/>
    </font>
    <font>
      <sz val="11.0"/>
      <color theme="1"/>
      <name val="Century Gothic"/>
    </font>
    <font>
      <i/>
      <sz val="10.0"/>
      <color rgb="FF434343"/>
      <name val="Century Gothic"/>
    </font>
    <font>
      <i/>
      <sz val="9.0"/>
      <color rgb="FF666666"/>
      <name val="Century Gothic"/>
    </font>
    <font>
      <sz val="10.0"/>
      <color rgb="FF434343"/>
      <name val="Century Gothic"/>
    </font>
    <font>
      <b/>
      <sz val="11.0"/>
      <color rgb="FF0000FF"/>
      <name val="Century Gothic"/>
    </font>
    <font>
      <b/>
      <sz val="11.0"/>
      <color rgb="FF134F5C"/>
      <name val="Century Gothic"/>
    </font>
  </fonts>
  <fills count="17">
    <fill>
      <patternFill patternType="none"/>
    </fill>
    <fill>
      <patternFill patternType="lightGray"/>
    </fill>
    <fill>
      <patternFill patternType="solid">
        <fgColor rgb="FF20124D"/>
        <bgColor rgb="FF20124D"/>
      </patternFill>
    </fill>
    <fill>
      <patternFill patternType="solid">
        <fgColor rgb="FF0B5394"/>
        <bgColor rgb="FF0B5394"/>
      </patternFill>
    </fill>
    <fill>
      <patternFill patternType="solid">
        <fgColor rgb="FFECF7F9"/>
        <bgColor rgb="FFECF7F9"/>
      </patternFill>
    </fill>
    <fill>
      <patternFill patternType="solid">
        <fgColor rgb="FFFFFFFF"/>
        <bgColor rgb="FFFFFFFF"/>
      </patternFill>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
      <patternFill patternType="solid">
        <fgColor rgb="FF3D85C6"/>
        <bgColor rgb="FF3D85C6"/>
      </patternFill>
    </fill>
    <fill>
      <patternFill patternType="solid">
        <fgColor rgb="FF073763"/>
        <bgColor rgb="FF073763"/>
      </patternFill>
    </fill>
    <fill>
      <patternFill patternType="solid">
        <fgColor rgb="FFFFEFF6"/>
        <bgColor rgb="FFFFEFF6"/>
      </patternFill>
    </fill>
    <fill>
      <patternFill patternType="solid">
        <fgColor rgb="FF000000"/>
        <bgColor rgb="FF000000"/>
      </patternFill>
    </fill>
    <fill>
      <patternFill patternType="solid">
        <fgColor rgb="FFA4C2F4"/>
        <bgColor rgb="FFA4C2F4"/>
      </patternFill>
    </fill>
    <fill>
      <patternFill patternType="solid">
        <fgColor rgb="FF1155CC"/>
        <bgColor rgb="FF1155CC"/>
      </patternFill>
    </fill>
    <fill>
      <patternFill patternType="solid">
        <fgColor rgb="FF6FA8DC"/>
        <bgColor rgb="FF6FA8DC"/>
      </patternFill>
    </fill>
    <fill>
      <patternFill patternType="solid">
        <fgColor rgb="FF9FC5E8"/>
        <bgColor rgb="FF9FC5E8"/>
      </patternFill>
    </fill>
  </fills>
  <borders count="24">
    <border/>
    <border>
      <left/>
      <top/>
    </border>
    <border>
      <top/>
    </border>
    <border>
      <right/>
      <top/>
    </border>
    <border>
      <left/>
      <bottom/>
    </border>
    <border>
      <bottom/>
    </border>
    <border>
      <right/>
      <bottom/>
    </border>
    <border>
      <left style="thin">
        <color rgb="FFB7B7B7"/>
      </left>
      <right style="thin">
        <color rgb="FFB7B7B7"/>
      </right>
      <top style="thin">
        <color rgb="FFB7B7B7"/>
      </top>
      <bottom style="thin">
        <color rgb="FFB7B7B7"/>
      </bottom>
    </border>
    <border>
      <left/>
      <right/>
      <top/>
      <bottom/>
    </border>
    <border>
      <left style="thin">
        <color rgb="FFB7B7B7"/>
      </left>
      <top style="thin">
        <color rgb="FFB7B7B7"/>
      </top>
    </border>
    <border>
      <top style="thin">
        <color rgb="FFB7B7B7"/>
      </top>
    </border>
    <border>
      <right style="thin">
        <color rgb="FFB7B7B7"/>
      </right>
      <top style="thin">
        <color rgb="FFB7B7B7"/>
      </top>
    </border>
    <border>
      <left style="thin">
        <color rgb="FFB7B7B7"/>
      </left>
    </border>
    <border>
      <right style="thin">
        <color rgb="FFB7B7B7"/>
      </right>
    </border>
    <border>
      <left style="thin">
        <color rgb="FFB7B7B7"/>
      </left>
      <bottom style="thin">
        <color rgb="FFB7B7B7"/>
      </bottom>
    </border>
    <border>
      <bottom style="thin">
        <color rgb="FFB7B7B7"/>
      </bottom>
    </border>
    <border>
      <right style="thin">
        <color rgb="FFB7B7B7"/>
      </right>
      <bottom style="thin">
        <color rgb="FFB7B7B7"/>
      </bottom>
    </border>
    <border>
      <left/>
      <right/>
      <top/>
      <bottom style="thin">
        <color rgb="FFB7B7B7"/>
      </bottom>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left/>
      <top/>
      <bottom/>
    </border>
    <border>
      <top/>
      <bottom/>
    </border>
    <border>
      <right/>
      <top/>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0"/>
    </xf>
    <xf borderId="2" fillId="0" fontId="3" numFmtId="0" xfId="0" applyBorder="1" applyFont="1"/>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7" fillId="3" fontId="4" numFmtId="0" xfId="0" applyAlignment="1" applyBorder="1" applyFill="1" applyFont="1">
      <alignment horizontal="center" shrinkToFit="0" vertical="bottom" wrapText="0"/>
    </xf>
    <xf borderId="7" fillId="4" fontId="5" numFmtId="0" xfId="0" applyAlignment="1" applyBorder="1" applyFill="1" applyFont="1">
      <alignment shrinkToFit="0" vertical="bottom" wrapText="0"/>
    </xf>
    <xf borderId="7" fillId="5" fontId="6" numFmtId="0" xfId="0" applyAlignment="1" applyBorder="1" applyFill="1" applyFont="1">
      <alignment shrinkToFit="0" vertical="bottom" wrapText="0"/>
    </xf>
    <xf borderId="7" fillId="5" fontId="7" numFmtId="164" xfId="0" applyAlignment="1" applyBorder="1" applyFont="1" applyNumberFormat="1">
      <alignment horizontal="center" shrinkToFit="0" vertical="bottom" wrapText="0"/>
    </xf>
    <xf borderId="7" fillId="5" fontId="7" numFmtId="165" xfId="0" applyAlignment="1" applyBorder="1" applyFont="1" applyNumberFormat="1">
      <alignment horizontal="center" shrinkToFit="0" vertical="bottom" wrapText="0"/>
    </xf>
    <xf borderId="7" fillId="5" fontId="8" numFmtId="0" xfId="0" applyAlignment="1" applyBorder="1" applyFont="1">
      <alignment horizontal="center" shrinkToFit="0" vertical="bottom" wrapText="0"/>
    </xf>
    <xf borderId="8" fillId="6" fontId="5" numFmtId="0" xfId="0" applyAlignment="1" applyBorder="1" applyFill="1" applyFont="1">
      <alignment horizontal="center" shrinkToFit="0" vertical="bottom" wrapText="0"/>
    </xf>
    <xf borderId="0" fillId="0" fontId="9" numFmtId="0" xfId="0" applyAlignment="1" applyFont="1">
      <alignment shrinkToFit="0" vertical="bottom" wrapText="0"/>
    </xf>
    <xf borderId="8" fillId="7" fontId="5" numFmtId="0" xfId="0" applyAlignment="1" applyBorder="1" applyFill="1" applyFont="1">
      <alignment horizontal="center" shrinkToFit="0" vertical="bottom" wrapText="0"/>
    </xf>
    <xf borderId="8" fillId="8" fontId="5" numFmtId="0" xfId="0" applyAlignment="1" applyBorder="1" applyFill="1" applyFont="1">
      <alignment horizontal="center" shrinkToFit="0" vertical="bottom" wrapText="0"/>
    </xf>
    <xf borderId="9" fillId="9" fontId="10" numFmtId="0" xfId="0" applyAlignment="1" applyBorder="1" applyFill="1" applyFont="1">
      <alignment horizontal="center" shrinkToFit="0" vertical="center" wrapText="1"/>
    </xf>
    <xf borderId="10" fillId="0" fontId="3" numFmtId="0" xfId="0" applyBorder="1" applyFont="1"/>
    <xf borderId="11" fillId="0" fontId="3" numFmtId="0" xfId="0" applyBorder="1" applyFont="1"/>
    <xf borderId="7" fillId="5" fontId="6" numFmtId="166" xfId="0" applyAlignment="1" applyBorder="1" applyFont="1" applyNumberFormat="1">
      <alignment shrinkToFit="0" vertical="bottom" wrapText="0"/>
    </xf>
    <xf borderId="12" fillId="0" fontId="3" numFmtId="0" xfId="0" applyBorder="1" applyFont="1"/>
    <xf borderId="13" fillId="0" fontId="3" numFmtId="0" xfId="0" applyBorder="1" applyFont="1"/>
    <xf borderId="14" fillId="0" fontId="3" numFmtId="0" xfId="0" applyBorder="1" applyFont="1"/>
    <xf borderId="15" fillId="0" fontId="3" numFmtId="0" xfId="0" applyBorder="1" applyFont="1"/>
    <xf borderId="16" fillId="0" fontId="3" numFmtId="0" xfId="0" applyBorder="1" applyFont="1"/>
    <xf borderId="7" fillId="10" fontId="10" numFmtId="0" xfId="0" applyAlignment="1" applyBorder="1" applyFill="1" applyFont="1">
      <alignment horizontal="center" shrinkToFit="0" vertical="center" wrapText="1"/>
    </xf>
    <xf borderId="7" fillId="9" fontId="10" numFmtId="0" xfId="0" applyAlignment="1" applyBorder="1" applyFont="1">
      <alignment horizontal="center" shrinkToFit="0" vertical="center" wrapText="1"/>
    </xf>
    <xf borderId="17" fillId="11" fontId="9" numFmtId="0" xfId="0" applyAlignment="1" applyBorder="1" applyFill="1" applyFont="1">
      <alignment shrinkToFit="0" vertical="bottom" wrapText="1"/>
    </xf>
    <xf borderId="17" fillId="11" fontId="11" numFmtId="164" xfId="0" applyAlignment="1" applyBorder="1" applyFont="1" applyNumberFormat="1">
      <alignment horizontal="center" shrinkToFit="0" vertical="bottom" wrapText="0"/>
    </xf>
    <xf borderId="17" fillId="11" fontId="11" numFmtId="165" xfId="0" applyAlignment="1" applyBorder="1" applyFont="1" applyNumberFormat="1">
      <alignment horizontal="center" shrinkToFit="0" vertical="bottom" wrapText="0"/>
    </xf>
    <xf borderId="17" fillId="11" fontId="11" numFmtId="0" xfId="0" applyAlignment="1" applyBorder="1" applyFont="1">
      <alignment horizontal="center" shrinkToFit="0" vertical="bottom" wrapText="0"/>
    </xf>
    <xf borderId="15" fillId="0" fontId="9" numFmtId="0" xfId="0" applyAlignment="1" applyBorder="1" applyFont="1">
      <alignment shrinkToFit="0" vertical="bottom" wrapText="1"/>
    </xf>
    <xf borderId="15" fillId="0" fontId="11" numFmtId="164" xfId="0" applyAlignment="1" applyBorder="1" applyFont="1" applyNumberFormat="1">
      <alignment horizontal="center" shrinkToFit="0" vertical="bottom" wrapText="0"/>
    </xf>
    <xf borderId="15" fillId="0" fontId="11" numFmtId="165" xfId="0" applyAlignment="1" applyBorder="1" applyFont="1" applyNumberFormat="1">
      <alignment horizontal="center" shrinkToFit="0" vertical="bottom" wrapText="0"/>
    </xf>
    <xf borderId="15" fillId="0" fontId="11" numFmtId="0" xfId="0" applyAlignment="1" applyBorder="1" applyFont="1">
      <alignment horizontal="center" shrinkToFit="0" vertical="bottom" wrapText="0"/>
    </xf>
    <xf borderId="7" fillId="12" fontId="4" numFmtId="0" xfId="0" applyAlignment="1" applyBorder="1" applyFill="1" applyFont="1">
      <alignment shrinkToFit="0" vertical="bottom" wrapText="0"/>
    </xf>
    <xf borderId="18" fillId="5" fontId="6" numFmtId="0" xfId="0" applyAlignment="1" applyBorder="1" applyFont="1">
      <alignment shrinkToFit="0" vertical="bottom" wrapText="1"/>
    </xf>
    <xf borderId="19" fillId="0" fontId="3" numFmtId="0" xfId="0" applyBorder="1" applyFont="1"/>
    <xf borderId="20" fillId="0" fontId="3" numFmtId="0" xfId="0" applyBorder="1" applyFont="1"/>
    <xf borderId="21" fillId="2" fontId="2" numFmtId="0" xfId="0" applyAlignment="1" applyBorder="1" applyFont="1">
      <alignment horizontal="center" shrinkToFit="0" vertical="center" wrapText="0"/>
    </xf>
    <xf borderId="22" fillId="0" fontId="3" numFmtId="0" xfId="0" applyBorder="1" applyFont="1"/>
    <xf borderId="23" fillId="0" fontId="3" numFmtId="0" xfId="0" applyBorder="1" applyFont="1"/>
    <xf borderId="0" fillId="0" fontId="1" numFmtId="0" xfId="0" applyAlignment="1" applyFont="1">
      <alignment vertical="center"/>
    </xf>
    <xf borderId="21" fillId="13" fontId="12" numFmtId="0" xfId="0" applyAlignment="1" applyBorder="1" applyFill="1" applyFont="1">
      <alignment shrinkToFit="0" vertical="center" wrapText="1"/>
    </xf>
    <xf borderId="18" fillId="12" fontId="4" numFmtId="0" xfId="0" applyAlignment="1" applyBorder="1" applyFont="1">
      <alignment shrinkToFit="0" vertical="center" wrapText="0"/>
    </xf>
    <xf borderId="17" fillId="5" fontId="13" numFmtId="0" xfId="0" applyAlignment="1" applyBorder="1" applyFont="1">
      <alignment shrinkToFit="0" vertical="center" wrapText="0"/>
    </xf>
    <xf borderId="17" fillId="5" fontId="14" numFmtId="0" xfId="0" applyAlignment="1" applyBorder="1" applyFont="1">
      <alignment shrinkToFit="0" vertical="center" wrapText="0"/>
    </xf>
    <xf borderId="17" fillId="5" fontId="14" numFmtId="0" xfId="0" applyAlignment="1" applyBorder="1" applyFont="1">
      <alignment shrinkToFit="0" vertical="center" wrapText="1"/>
    </xf>
    <xf borderId="17" fillId="7" fontId="15" numFmtId="0" xfId="0" applyAlignment="1" applyBorder="1" applyFont="1">
      <alignment horizontal="center" shrinkToFit="0" vertical="center" wrapText="0"/>
    </xf>
    <xf borderId="17" fillId="4" fontId="9" numFmtId="164" xfId="0" applyAlignment="1" applyBorder="1" applyFont="1" applyNumberFormat="1">
      <alignment horizontal="center" shrinkToFit="0" vertical="center" wrapText="0"/>
    </xf>
    <xf borderId="17" fillId="5" fontId="9" numFmtId="164" xfId="0" applyAlignment="1" applyBorder="1" applyFont="1" applyNumberFormat="1">
      <alignment horizontal="center" shrinkToFit="0" vertical="center" wrapText="0"/>
    </xf>
    <xf borderId="17" fillId="5" fontId="14" numFmtId="0" xfId="0" applyAlignment="1" applyBorder="1" applyFont="1">
      <alignment horizontal="center" shrinkToFit="0" vertical="center" wrapText="0"/>
    </xf>
    <xf borderId="17" fillId="11" fontId="13" numFmtId="0" xfId="0" applyAlignment="1" applyBorder="1" applyFont="1">
      <alignment shrinkToFit="0" vertical="center" wrapText="0"/>
    </xf>
    <xf borderId="17" fillId="11" fontId="14" numFmtId="0" xfId="0" applyAlignment="1" applyBorder="1" applyFont="1">
      <alignment shrinkToFit="0" vertical="center" wrapText="0"/>
    </xf>
    <xf borderId="17" fillId="11" fontId="14" numFmtId="0" xfId="0" applyAlignment="1" applyBorder="1" applyFont="1">
      <alignment shrinkToFit="0" vertical="center" wrapText="1"/>
    </xf>
    <xf borderId="17" fillId="11" fontId="14" numFmtId="0" xfId="0" applyAlignment="1" applyBorder="1" applyFont="1">
      <alignment horizontal="center" shrinkToFit="0" vertical="center" wrapText="0"/>
    </xf>
    <xf borderId="17" fillId="4" fontId="16" numFmtId="0" xfId="0" applyAlignment="1" applyBorder="1" applyFont="1">
      <alignment shrinkToFit="0" vertical="center" wrapText="0"/>
    </xf>
    <xf borderId="17" fillId="4" fontId="16" numFmtId="164" xfId="0" applyAlignment="1" applyBorder="1" applyFont="1" applyNumberFormat="1">
      <alignment horizontal="center" shrinkToFit="0" vertical="center" wrapText="0"/>
    </xf>
    <xf borderId="17" fillId="4" fontId="16" numFmtId="165" xfId="0" applyAlignment="1" applyBorder="1" applyFont="1" applyNumberFormat="1">
      <alignment horizontal="center" shrinkToFit="0" vertical="center" wrapText="0"/>
    </xf>
    <xf borderId="17" fillId="5" fontId="11" numFmtId="0" xfId="0" applyAlignment="1" applyBorder="1" applyFont="1">
      <alignment shrinkToFit="0" vertical="center" wrapText="0"/>
    </xf>
    <xf borderId="7" fillId="10" fontId="4" numFmtId="0" xfId="0" applyAlignment="1" applyBorder="1" applyFont="1">
      <alignment shrinkToFit="0" vertical="center" wrapText="0"/>
    </xf>
    <xf borderId="7" fillId="5" fontId="11" numFmtId="0" xfId="0" applyAlignment="1" applyBorder="1" applyFont="1">
      <alignment shrinkToFit="0" vertical="center" wrapText="0"/>
    </xf>
    <xf borderId="7" fillId="14" fontId="4" numFmtId="164" xfId="0" applyAlignment="1" applyBorder="1" applyFill="1" applyFont="1" applyNumberFormat="1">
      <alignment horizontal="center" shrinkToFit="0" vertical="center" wrapText="0"/>
    </xf>
    <xf borderId="7" fillId="15" fontId="4" numFmtId="164" xfId="0" applyAlignment="1" applyBorder="1" applyFill="1" applyFont="1" applyNumberFormat="1">
      <alignment horizontal="center" shrinkToFit="0" vertical="center" wrapText="0"/>
    </xf>
    <xf borderId="7" fillId="16" fontId="4" numFmtId="165" xfId="0" applyAlignment="1" applyBorder="1" applyFill="1" applyFont="1" applyNumberFormat="1">
      <alignment horizontal="center" shrinkToFit="0" vertical="center"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300">
                <a:solidFill>
                  <a:srgbClr val="757575"/>
                </a:solidFill>
                <a:latin typeface="Arial"/>
              </a:defRPr>
            </a:pPr>
            <a:r>
              <a:rPr b="0" i="0" sz="1300">
                <a:solidFill>
                  <a:srgbClr val="757575"/>
                </a:solidFill>
                <a:latin typeface="Arial"/>
              </a:rPr>
              <a:t>Section maturity</a:t>
            </a:r>
          </a:p>
        </c:rich>
      </c:tx>
      <c:overlay val="0"/>
    </c:title>
    <c:plotArea>
      <c:layout/>
      <c:barChart>
        <c:barDir val="bar"/>
        <c:ser>
          <c:idx val="0"/>
          <c:order val="0"/>
          <c:tx>
            <c:v>% of max</c:v>
          </c:tx>
          <c:spPr>
            <a:solidFill>
              <a:srgbClr val="4F81BD"/>
            </a:solidFill>
            <a:ln cmpd="sng">
              <a:solidFill>
                <a:srgbClr val="000000"/>
              </a:solidFill>
            </a:ln>
          </c:spPr>
          <c:cat>
            <c:strRef>
              <c:f>Overview!$C$13:$C$24</c:f>
            </c:strRef>
          </c:cat>
          <c:val>
            <c:numRef>
              <c:f>Overview!$F$13:$F$24</c:f>
              <c:numCache/>
            </c:numRef>
          </c:val>
        </c:ser>
        <c:axId val="578558284"/>
        <c:axId val="15312265"/>
      </c:barChart>
      <c:catAx>
        <c:axId val="578558284"/>
        <c:scaling>
          <c:orientation val="maxMin"/>
        </c:scaling>
        <c:delete val="0"/>
        <c:axPos val="l"/>
        <c:title>
          <c:tx>
            <c:rich>
              <a:bodyPr/>
              <a:lstStyle/>
              <a:p>
                <a:pPr lvl="0">
                  <a:defRPr b="0" i="0" sz="1300">
                    <a:solidFill>
                      <a:srgbClr val="000000"/>
                    </a:solidFill>
                    <a:latin typeface="Arial"/>
                  </a:defRPr>
                </a:pPr>
                <a:r>
                  <a:rPr b="0" i="0" sz="1300">
                    <a:solidFill>
                      <a:srgbClr val="000000"/>
                    </a:solidFill>
                    <a:latin typeface="Arial"/>
                  </a:rPr>
                  <a:t>% of max</a:t>
                </a:r>
              </a:p>
            </c:rich>
          </c:tx>
          <c:overlay val="0"/>
        </c:title>
        <c:numFmt formatCode="0%" sourceLinked="0"/>
        <c:majorTickMark val="none"/>
        <c:minorTickMark val="none"/>
        <c:spPr/>
        <c:txPr>
          <a:bodyPr/>
          <a:lstStyle/>
          <a:p>
            <a:pPr lvl="0">
              <a:defRPr b="0" i="0" sz="1000">
                <a:solidFill>
                  <a:srgbClr val="000000"/>
                </a:solidFill>
                <a:latin typeface="Calibri"/>
              </a:defRPr>
            </a:pPr>
          </a:p>
        </c:txPr>
        <c:crossAx val="15312265"/>
      </c:catAx>
      <c:valAx>
        <c:axId val="15312265"/>
        <c:scaling>
          <c:orientation val="minMax"/>
        </c:scaling>
        <c:delete val="0"/>
        <c:axPos val="b"/>
        <c:majorGridlines>
          <c:spPr>
            <a:ln>
              <a:solidFill>
                <a:srgbClr val="B7B7B7"/>
              </a:solidFill>
            </a:ln>
          </c:spPr>
        </c:majorGridlines>
        <c:title>
          <c:tx>
            <c:rich>
              <a:bodyPr/>
              <a:lstStyle/>
              <a:p>
                <a:pPr lvl="0">
                  <a:defRPr b="0" i="0" sz="1300">
                    <a:solidFill>
                      <a:srgbClr val="000000"/>
                    </a:solidFill>
                    <a:latin typeface="Arial"/>
                  </a:defRPr>
                </a:pPr>
                <a:r>
                  <a:rPr b="0" i="0" sz="1300">
                    <a:solidFill>
                      <a:srgbClr val="000000"/>
                    </a:solidFill>
                    <a:latin typeface="Arial"/>
                  </a:rPr>
                  <a:t>Section</a:t>
                </a:r>
              </a:p>
            </c:rich>
          </c:tx>
          <c:overlay val="0"/>
        </c:title>
        <c:numFmt formatCode="General" sourceLinked="1"/>
        <c:majorTickMark val="none"/>
        <c:minorTickMark val="none"/>
        <c:tickLblPos val="nextTo"/>
        <c:spPr>
          <a:ln/>
        </c:spPr>
        <c:txPr>
          <a:bodyPr/>
          <a:lstStyle/>
          <a:p>
            <a:pPr lvl="0">
              <a:defRPr b="0" i="0" sz="1000">
                <a:solidFill>
                  <a:srgbClr val="000000"/>
                </a:solidFill>
                <a:latin typeface="Calibri"/>
              </a:defRPr>
            </a:pPr>
          </a:p>
        </c:txPr>
        <c:crossAx val="578558284"/>
        <c:crosses val="max"/>
      </c:valAx>
    </c:plotArea>
    <c:plotVisOnly val="1"/>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11</xdr:row>
      <xdr:rowOff>123825</xdr:rowOff>
    </xdr:from>
    <xdr:ext cx="4810125" cy="2257425"/>
    <xdr:graphicFrame>
      <xdr:nvGraphicFramePr>
        <xdr:cNvPr id="2107155229"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2.0" ySplit="11.0" topLeftCell="C12" activePane="bottomRight" state="frozen"/>
      <selection activeCell="C1" sqref="C1" pane="topRight"/>
      <selection activeCell="A12" sqref="A12" pane="bottomLeft"/>
      <selection activeCell="C12" sqref="C12" pane="bottomRight"/>
    </sheetView>
  </sheetViews>
  <sheetFormatPr customHeight="1" defaultColWidth="14.43" defaultRowHeight="15.0"/>
  <cols>
    <col customWidth="1" min="1" max="1" width="2.43"/>
    <col customWidth="1" min="2" max="2" width="4.0"/>
    <col customWidth="1" min="3" max="3" width="40.71"/>
    <col customWidth="1" min="4" max="4" width="16.14"/>
    <col customWidth="1" min="5" max="5" width="23.57"/>
    <col customWidth="1" min="6" max="6" width="14.0"/>
    <col customWidth="1" min="7" max="7" width="26.0"/>
    <col customWidth="1" min="8" max="8" width="16.0"/>
    <col customWidth="1" min="9" max="9" width="43.57"/>
    <col customWidth="1" min="10" max="10" width="14.0"/>
    <col customWidth="1" min="11" max="11" width="16.0"/>
    <col customWidth="1" min="12" max="26" width="8.71"/>
  </cols>
  <sheetData>
    <row r="1">
      <c r="A1" s="1"/>
      <c r="B1" s="1"/>
      <c r="C1" s="1"/>
      <c r="D1" s="1"/>
      <c r="E1" s="1"/>
      <c r="F1" s="1"/>
      <c r="G1" s="1"/>
      <c r="H1" s="1"/>
      <c r="I1" s="1"/>
      <c r="J1" s="1"/>
      <c r="K1" s="1"/>
      <c r="L1" s="1"/>
      <c r="M1" s="1"/>
      <c r="N1" s="1"/>
      <c r="O1" s="1"/>
      <c r="P1" s="1"/>
      <c r="Q1" s="1"/>
      <c r="R1" s="1"/>
      <c r="S1" s="1"/>
      <c r="T1" s="1"/>
      <c r="U1" s="1"/>
      <c r="V1" s="1"/>
      <c r="W1" s="1"/>
      <c r="X1" s="1"/>
      <c r="Y1" s="1"/>
      <c r="Z1" s="1"/>
    </row>
    <row r="2" ht="27.75" customHeight="1">
      <c r="A2" s="1"/>
      <c r="B2" s="1"/>
      <c r="C2" s="2" t="s">
        <v>0</v>
      </c>
      <c r="D2" s="3"/>
      <c r="E2" s="3"/>
      <c r="F2" s="3"/>
      <c r="G2" s="3"/>
      <c r="H2" s="3"/>
      <c r="I2" s="3"/>
      <c r="J2" s="3"/>
      <c r="K2" s="4"/>
      <c r="L2" s="1"/>
      <c r="M2" s="1"/>
      <c r="N2" s="1"/>
      <c r="O2" s="1"/>
      <c r="P2" s="1"/>
      <c r="Q2" s="1"/>
      <c r="R2" s="1"/>
      <c r="S2" s="1"/>
      <c r="T2" s="1"/>
      <c r="U2" s="1"/>
      <c r="V2" s="1"/>
      <c r="W2" s="1"/>
      <c r="X2" s="1"/>
      <c r="Y2" s="1"/>
      <c r="Z2" s="1"/>
    </row>
    <row r="3" ht="27.75" customHeight="1">
      <c r="A3" s="1"/>
      <c r="B3" s="1"/>
      <c r="C3" s="5"/>
      <c r="D3" s="6"/>
      <c r="E3" s="6"/>
      <c r="F3" s="6"/>
      <c r="G3" s="6"/>
      <c r="H3" s="6"/>
      <c r="I3" s="6"/>
      <c r="J3" s="6"/>
      <c r="K3" s="7"/>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8" t="s">
        <v>1</v>
      </c>
      <c r="D5" s="1"/>
      <c r="E5" s="8" t="s">
        <v>2</v>
      </c>
      <c r="F5" s="1"/>
      <c r="G5" s="8" t="s">
        <v>3</v>
      </c>
      <c r="H5" s="1"/>
      <c r="I5" s="8" t="s">
        <v>4</v>
      </c>
      <c r="J5" s="9" t="s">
        <v>5</v>
      </c>
      <c r="K5" s="10"/>
      <c r="L5" s="1"/>
      <c r="M5" s="1"/>
      <c r="N5" s="1"/>
      <c r="O5" s="1"/>
      <c r="P5" s="1"/>
      <c r="Q5" s="1"/>
      <c r="R5" s="1"/>
      <c r="S5" s="1"/>
      <c r="T5" s="1"/>
      <c r="U5" s="1"/>
      <c r="V5" s="1"/>
      <c r="W5" s="1"/>
      <c r="X5" s="1"/>
      <c r="Y5" s="1"/>
      <c r="Z5" s="1"/>
    </row>
    <row r="6">
      <c r="A6" s="1"/>
      <c r="B6" s="1"/>
      <c r="C6" s="11">
        <f>'SaaS Audit Worksheet'!F71</f>
        <v>0</v>
      </c>
      <c r="D6" s="1"/>
      <c r="E6" s="11">
        <v>238.5</v>
      </c>
      <c r="F6" s="1"/>
      <c r="G6" s="12">
        <f>IFERROR(C6/E6,"")</f>
        <v>0</v>
      </c>
      <c r="H6" s="1"/>
      <c r="I6" s="13" t="str">
        <f>IF(G6="","Not scored",IF(G6&lt;0.4,"High risk",IF(G6&lt;0.6,"Operational but limited",IF(G6&lt;0.8,"Strong base","Advanced"))))</f>
        <v>High risk</v>
      </c>
      <c r="J6" s="9" t="s">
        <v>6</v>
      </c>
      <c r="K6" s="10"/>
      <c r="L6" s="1"/>
      <c r="M6" s="1"/>
      <c r="N6" s="1"/>
      <c r="O6" s="1"/>
      <c r="P6" s="1"/>
      <c r="Q6" s="1"/>
      <c r="R6" s="1"/>
      <c r="S6" s="1"/>
      <c r="T6" s="1"/>
      <c r="U6" s="1"/>
      <c r="V6" s="1"/>
      <c r="W6" s="1"/>
      <c r="X6" s="1"/>
      <c r="Y6" s="1"/>
      <c r="Z6" s="1"/>
    </row>
    <row r="7">
      <c r="A7" s="1"/>
      <c r="B7" s="1"/>
      <c r="C7" s="14" t="s">
        <v>7</v>
      </c>
      <c r="D7" s="15" t="s">
        <v>8</v>
      </c>
      <c r="E7" s="16" t="s">
        <v>9</v>
      </c>
      <c r="F7" s="15" t="s">
        <v>10</v>
      </c>
      <c r="G7" s="17" t="s">
        <v>11</v>
      </c>
      <c r="H7" s="15" t="s">
        <v>12</v>
      </c>
      <c r="I7" s="1"/>
      <c r="J7" s="9" t="s">
        <v>13</v>
      </c>
      <c r="K7" s="10"/>
      <c r="L7" s="1"/>
      <c r="M7" s="1"/>
      <c r="N7" s="1"/>
      <c r="O7" s="1"/>
      <c r="P7" s="1"/>
      <c r="Q7" s="1"/>
      <c r="R7" s="1"/>
      <c r="S7" s="1"/>
      <c r="T7" s="1"/>
      <c r="U7" s="1"/>
      <c r="V7" s="1"/>
      <c r="W7" s="1"/>
      <c r="X7" s="1"/>
      <c r="Y7" s="1"/>
      <c r="Z7" s="1"/>
    </row>
    <row r="8" ht="15.0" customHeight="1">
      <c r="A8" s="1"/>
      <c r="B8" s="1"/>
      <c r="C8" s="18" t="s">
        <v>14</v>
      </c>
      <c r="D8" s="19"/>
      <c r="E8" s="19"/>
      <c r="F8" s="19"/>
      <c r="G8" s="19"/>
      <c r="H8" s="19"/>
      <c r="I8" s="20"/>
      <c r="J8" s="9" t="s">
        <v>15</v>
      </c>
      <c r="K8" s="21">
        <v>46088.0</v>
      </c>
      <c r="L8" s="1"/>
      <c r="M8" s="1"/>
      <c r="N8" s="1"/>
      <c r="O8" s="1"/>
      <c r="P8" s="1"/>
      <c r="Q8" s="1"/>
      <c r="R8" s="1"/>
      <c r="S8" s="1"/>
      <c r="T8" s="1"/>
      <c r="U8" s="1"/>
      <c r="V8" s="1"/>
      <c r="W8" s="1"/>
      <c r="X8" s="1"/>
      <c r="Y8" s="1"/>
      <c r="Z8" s="1"/>
    </row>
    <row r="9">
      <c r="A9" s="1"/>
      <c r="B9" s="1"/>
      <c r="C9" s="22"/>
      <c r="I9" s="23"/>
      <c r="J9" s="9" t="s">
        <v>16</v>
      </c>
      <c r="K9" s="10" t="s">
        <v>17</v>
      </c>
      <c r="L9" s="1"/>
      <c r="M9" s="1"/>
      <c r="N9" s="1"/>
      <c r="O9" s="1"/>
      <c r="P9" s="1"/>
      <c r="Q9" s="1"/>
      <c r="R9" s="1"/>
      <c r="S9" s="1"/>
      <c r="T9" s="1"/>
      <c r="U9" s="1"/>
      <c r="V9" s="1"/>
      <c r="W9" s="1"/>
      <c r="X9" s="1"/>
      <c r="Y9" s="1"/>
      <c r="Z9" s="1"/>
    </row>
    <row r="10">
      <c r="A10" s="1"/>
      <c r="B10" s="1"/>
      <c r="C10" s="24"/>
      <c r="D10" s="25"/>
      <c r="E10" s="25"/>
      <c r="F10" s="25"/>
      <c r="G10" s="25"/>
      <c r="H10" s="25"/>
      <c r="I10" s="26"/>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27" t="s">
        <v>18</v>
      </c>
      <c r="D12" s="28" t="s">
        <v>1</v>
      </c>
      <c r="E12" s="28" t="s">
        <v>19</v>
      </c>
      <c r="F12" s="28" t="s">
        <v>20</v>
      </c>
      <c r="G12" s="28" t="s">
        <v>21</v>
      </c>
      <c r="H12" s="1"/>
      <c r="I12" s="1"/>
      <c r="J12" s="1"/>
      <c r="K12" s="1"/>
      <c r="L12" s="1"/>
      <c r="M12" s="1"/>
      <c r="N12" s="1"/>
      <c r="O12" s="1"/>
      <c r="P12" s="1"/>
      <c r="Q12" s="1"/>
      <c r="R12" s="1"/>
      <c r="S12" s="1"/>
      <c r="T12" s="1"/>
      <c r="U12" s="1"/>
      <c r="V12" s="1"/>
      <c r="W12" s="1"/>
      <c r="X12" s="1"/>
      <c r="Y12" s="1"/>
      <c r="Z12" s="1"/>
    </row>
    <row r="13">
      <c r="A13" s="1"/>
      <c r="B13" s="1"/>
      <c r="C13" s="29" t="s">
        <v>22</v>
      </c>
      <c r="D13" s="30">
        <f>'SaaS Audit Worksheet'!F8</f>
        <v>0</v>
      </c>
      <c r="E13" s="30">
        <f>'SaaS Audit Worksheet'!E8*5</f>
        <v>20</v>
      </c>
      <c r="F13" s="31">
        <f t="shared" ref="F13:F24" si="1">IFERROR(D13/E13,"")</f>
        <v>0</v>
      </c>
      <c r="G13" s="32" t="str">
        <f t="shared" ref="G13:G24" si="2">IF(F13="","",IF(F13&lt;0.6,"Needs attention",IF(F13&lt;0.8,"Solid","Strong")))</f>
        <v>Needs attention</v>
      </c>
      <c r="H13" s="1"/>
      <c r="I13" s="1"/>
      <c r="J13" s="1"/>
      <c r="K13" s="1"/>
      <c r="L13" s="1"/>
      <c r="M13" s="1"/>
      <c r="N13" s="1"/>
      <c r="O13" s="1"/>
      <c r="P13" s="1"/>
      <c r="Q13" s="1"/>
      <c r="R13" s="1"/>
      <c r="S13" s="1"/>
      <c r="T13" s="1"/>
      <c r="U13" s="1"/>
      <c r="V13" s="1"/>
      <c r="W13" s="1"/>
      <c r="X13" s="1"/>
      <c r="Y13" s="1"/>
      <c r="Z13" s="1"/>
    </row>
    <row r="14">
      <c r="A14" s="1"/>
      <c r="B14" s="1"/>
      <c r="C14" s="33" t="s">
        <v>23</v>
      </c>
      <c r="D14" s="34">
        <f>'SaaS Audit Worksheet'!F13</f>
        <v>0</v>
      </c>
      <c r="E14" s="34">
        <f>'SaaS Audit Worksheet'!E13*5</f>
        <v>16.5</v>
      </c>
      <c r="F14" s="35">
        <f t="shared" si="1"/>
        <v>0</v>
      </c>
      <c r="G14" s="36" t="str">
        <f t="shared" si="2"/>
        <v>Needs attention</v>
      </c>
      <c r="H14" s="1"/>
      <c r="I14" s="1"/>
      <c r="J14" s="1"/>
      <c r="K14" s="1"/>
      <c r="L14" s="1"/>
      <c r="M14" s="1"/>
      <c r="N14" s="1"/>
      <c r="O14" s="1"/>
      <c r="P14" s="1"/>
      <c r="Q14" s="1"/>
      <c r="R14" s="1"/>
      <c r="S14" s="1"/>
      <c r="T14" s="1"/>
      <c r="U14" s="1"/>
      <c r="V14" s="1"/>
      <c r="W14" s="1"/>
      <c r="X14" s="1"/>
      <c r="Y14" s="1"/>
      <c r="Z14" s="1"/>
    </row>
    <row r="15">
      <c r="A15" s="1"/>
      <c r="B15" s="1"/>
      <c r="C15" s="29" t="s">
        <v>24</v>
      </c>
      <c r="D15" s="30">
        <f>'SaaS Audit Worksheet'!F19</f>
        <v>0</v>
      </c>
      <c r="E15" s="30">
        <f>'SaaS Audit Worksheet'!E19*5</f>
        <v>25</v>
      </c>
      <c r="F15" s="31">
        <f t="shared" si="1"/>
        <v>0</v>
      </c>
      <c r="G15" s="32" t="str">
        <f t="shared" si="2"/>
        <v>Needs attention</v>
      </c>
      <c r="H15" s="1"/>
      <c r="I15" s="1"/>
      <c r="J15" s="1"/>
      <c r="K15" s="1"/>
      <c r="L15" s="1"/>
      <c r="M15" s="1"/>
      <c r="N15" s="1"/>
      <c r="O15" s="1"/>
      <c r="P15" s="1"/>
      <c r="Q15" s="1"/>
      <c r="R15" s="1"/>
      <c r="S15" s="1"/>
      <c r="T15" s="1"/>
      <c r="U15" s="1"/>
      <c r="V15" s="1"/>
      <c r="W15" s="1"/>
      <c r="X15" s="1"/>
      <c r="Y15" s="1"/>
      <c r="Z15" s="1"/>
    </row>
    <row r="16">
      <c r="A16" s="1"/>
      <c r="B16" s="1"/>
      <c r="C16" s="33" t="s">
        <v>25</v>
      </c>
      <c r="D16" s="34">
        <f>'SaaS Audit Worksheet'!F25</f>
        <v>0</v>
      </c>
      <c r="E16" s="34">
        <f>'SaaS Audit Worksheet'!E25*5</f>
        <v>25</v>
      </c>
      <c r="F16" s="35">
        <f t="shared" si="1"/>
        <v>0</v>
      </c>
      <c r="G16" s="36" t="str">
        <f t="shared" si="2"/>
        <v>Needs attention</v>
      </c>
      <c r="H16" s="1"/>
      <c r="I16" s="1"/>
      <c r="J16" s="1"/>
      <c r="K16" s="1"/>
      <c r="L16" s="1"/>
      <c r="M16" s="1"/>
      <c r="N16" s="1"/>
      <c r="O16" s="1"/>
      <c r="P16" s="1"/>
      <c r="Q16" s="1"/>
      <c r="R16" s="1"/>
      <c r="S16" s="1"/>
      <c r="T16" s="1"/>
      <c r="U16" s="1"/>
      <c r="V16" s="1"/>
      <c r="W16" s="1"/>
      <c r="X16" s="1"/>
      <c r="Y16" s="1"/>
      <c r="Z16" s="1"/>
    </row>
    <row r="17">
      <c r="A17" s="1"/>
      <c r="B17" s="1"/>
      <c r="C17" s="29" t="s">
        <v>26</v>
      </c>
      <c r="D17" s="30">
        <f>'SaaS Audit Worksheet'!F30</f>
        <v>0</v>
      </c>
      <c r="E17" s="30">
        <f>'SaaS Audit Worksheet'!E30*5</f>
        <v>16.5</v>
      </c>
      <c r="F17" s="31">
        <f t="shared" si="1"/>
        <v>0</v>
      </c>
      <c r="G17" s="32" t="str">
        <f t="shared" si="2"/>
        <v>Needs attention</v>
      </c>
      <c r="H17" s="1"/>
      <c r="I17" s="1"/>
      <c r="J17" s="1"/>
      <c r="K17" s="1"/>
      <c r="L17" s="1"/>
      <c r="M17" s="1"/>
      <c r="N17" s="1"/>
      <c r="O17" s="1"/>
      <c r="P17" s="1"/>
      <c r="Q17" s="1"/>
      <c r="R17" s="1"/>
      <c r="S17" s="1"/>
      <c r="T17" s="1"/>
      <c r="U17" s="1"/>
      <c r="V17" s="1"/>
      <c r="W17" s="1"/>
      <c r="X17" s="1"/>
      <c r="Y17" s="1"/>
      <c r="Z17" s="1"/>
    </row>
    <row r="18" ht="15.75" customHeight="1">
      <c r="A18" s="1"/>
      <c r="B18" s="1"/>
      <c r="C18" s="33" t="s">
        <v>27</v>
      </c>
      <c r="D18" s="34">
        <f>'SaaS Audit Worksheet'!F36</f>
        <v>0</v>
      </c>
      <c r="E18" s="34">
        <f>'SaaS Audit Worksheet'!E36*5</f>
        <v>24</v>
      </c>
      <c r="F18" s="35">
        <f t="shared" si="1"/>
        <v>0</v>
      </c>
      <c r="G18" s="36" t="str">
        <f t="shared" si="2"/>
        <v>Needs attention</v>
      </c>
      <c r="H18" s="1"/>
      <c r="I18" s="1"/>
      <c r="J18" s="1"/>
      <c r="K18" s="1"/>
      <c r="L18" s="1"/>
      <c r="M18" s="1"/>
      <c r="N18" s="1"/>
      <c r="O18" s="1"/>
      <c r="P18" s="1"/>
      <c r="Q18" s="1"/>
      <c r="R18" s="1"/>
      <c r="S18" s="1"/>
      <c r="T18" s="1"/>
      <c r="U18" s="1"/>
      <c r="V18" s="1"/>
      <c r="W18" s="1"/>
      <c r="X18" s="1"/>
      <c r="Y18" s="1"/>
      <c r="Z18" s="1"/>
    </row>
    <row r="19" ht="15.75" customHeight="1">
      <c r="A19" s="1"/>
      <c r="B19" s="1"/>
      <c r="C19" s="29" t="s">
        <v>28</v>
      </c>
      <c r="D19" s="30">
        <f>'SaaS Audit Worksheet'!F42</f>
        <v>0</v>
      </c>
      <c r="E19" s="30">
        <f>'SaaS Audit Worksheet'!E42*5</f>
        <v>21</v>
      </c>
      <c r="F19" s="31">
        <f t="shared" si="1"/>
        <v>0</v>
      </c>
      <c r="G19" s="32" t="str">
        <f t="shared" si="2"/>
        <v>Needs attention</v>
      </c>
      <c r="H19" s="1"/>
      <c r="I19" s="1"/>
      <c r="J19" s="1"/>
      <c r="K19" s="1"/>
      <c r="L19" s="1"/>
      <c r="M19" s="1"/>
      <c r="N19" s="1"/>
      <c r="O19" s="1"/>
      <c r="P19" s="1"/>
      <c r="Q19" s="1"/>
      <c r="R19" s="1"/>
      <c r="S19" s="1"/>
      <c r="T19" s="1"/>
      <c r="U19" s="1"/>
      <c r="V19" s="1"/>
      <c r="W19" s="1"/>
      <c r="X19" s="1"/>
      <c r="Y19" s="1"/>
      <c r="Z19" s="1"/>
    </row>
    <row r="20" ht="15.75" customHeight="1">
      <c r="A20" s="1"/>
      <c r="B20" s="1"/>
      <c r="C20" s="33" t="s">
        <v>29</v>
      </c>
      <c r="D20" s="34">
        <f>'SaaS Audit Worksheet'!F48</f>
        <v>0</v>
      </c>
      <c r="E20" s="34">
        <f>'SaaS Audit Worksheet'!E48*5</f>
        <v>21.5</v>
      </c>
      <c r="F20" s="35">
        <f t="shared" si="1"/>
        <v>0</v>
      </c>
      <c r="G20" s="36" t="str">
        <f t="shared" si="2"/>
        <v>Needs attention</v>
      </c>
      <c r="H20" s="1"/>
      <c r="I20" s="1"/>
      <c r="J20" s="1"/>
      <c r="K20" s="1"/>
      <c r="L20" s="1"/>
      <c r="M20" s="1"/>
      <c r="N20" s="1"/>
      <c r="O20" s="1"/>
      <c r="P20" s="1"/>
      <c r="Q20" s="1"/>
      <c r="R20" s="1"/>
      <c r="S20" s="1"/>
      <c r="T20" s="1"/>
      <c r="U20" s="1"/>
      <c r="V20" s="1"/>
      <c r="W20" s="1"/>
      <c r="X20" s="1"/>
      <c r="Y20" s="1"/>
      <c r="Z20" s="1"/>
    </row>
    <row r="21" ht="15.75" customHeight="1">
      <c r="A21" s="1"/>
      <c r="B21" s="1"/>
      <c r="C21" s="29" t="s">
        <v>30</v>
      </c>
      <c r="D21" s="30">
        <f>'SaaS Audit Worksheet'!F54</f>
        <v>0</v>
      </c>
      <c r="E21" s="30">
        <f>'SaaS Audit Worksheet'!E54*5</f>
        <v>23</v>
      </c>
      <c r="F21" s="31">
        <f t="shared" si="1"/>
        <v>0</v>
      </c>
      <c r="G21" s="32" t="str">
        <f t="shared" si="2"/>
        <v>Needs attention</v>
      </c>
      <c r="H21" s="1"/>
      <c r="I21" s="1"/>
      <c r="J21" s="1"/>
      <c r="K21" s="1"/>
      <c r="L21" s="1"/>
      <c r="M21" s="1"/>
      <c r="N21" s="1"/>
      <c r="O21" s="1"/>
      <c r="P21" s="1"/>
      <c r="Q21" s="1"/>
      <c r="R21" s="1"/>
      <c r="S21" s="1"/>
      <c r="T21" s="1"/>
      <c r="U21" s="1"/>
      <c r="V21" s="1"/>
      <c r="W21" s="1"/>
      <c r="X21" s="1"/>
      <c r="Y21" s="1"/>
      <c r="Z21" s="1"/>
    </row>
    <row r="22" ht="15.75" customHeight="1">
      <c r="A22" s="1"/>
      <c r="B22" s="1"/>
      <c r="C22" s="33" t="s">
        <v>31</v>
      </c>
      <c r="D22" s="34">
        <f>'SaaS Audit Worksheet'!F59</f>
        <v>0</v>
      </c>
      <c r="E22" s="34">
        <f>'SaaS Audit Worksheet'!E59*5</f>
        <v>14</v>
      </c>
      <c r="F22" s="35">
        <f t="shared" si="1"/>
        <v>0</v>
      </c>
      <c r="G22" s="36" t="str">
        <f t="shared" si="2"/>
        <v>Needs attention</v>
      </c>
      <c r="H22" s="1"/>
      <c r="I22" s="1"/>
      <c r="J22" s="1"/>
      <c r="K22" s="1"/>
      <c r="L22" s="1"/>
      <c r="M22" s="1"/>
      <c r="N22" s="1"/>
      <c r="O22" s="1"/>
      <c r="P22" s="1"/>
      <c r="Q22" s="1"/>
      <c r="R22" s="1"/>
      <c r="S22" s="1"/>
      <c r="T22" s="1"/>
      <c r="U22" s="1"/>
      <c r="V22" s="1"/>
      <c r="W22" s="1"/>
      <c r="X22" s="1"/>
      <c r="Y22" s="1"/>
      <c r="Z22" s="1"/>
    </row>
    <row r="23" ht="15.75" customHeight="1">
      <c r="A23" s="1"/>
      <c r="B23" s="1"/>
      <c r="C23" s="29" t="s">
        <v>32</v>
      </c>
      <c r="D23" s="30">
        <f>'SaaS Audit Worksheet'!F64</f>
        <v>0</v>
      </c>
      <c r="E23" s="30">
        <f>'SaaS Audit Worksheet'!E64*5</f>
        <v>18.5</v>
      </c>
      <c r="F23" s="31">
        <f t="shared" si="1"/>
        <v>0</v>
      </c>
      <c r="G23" s="32" t="str">
        <f t="shared" si="2"/>
        <v>Needs attention</v>
      </c>
      <c r="H23" s="1"/>
      <c r="I23" s="1"/>
      <c r="J23" s="1"/>
      <c r="K23" s="1"/>
      <c r="L23" s="1"/>
      <c r="M23" s="1"/>
      <c r="N23" s="1"/>
      <c r="O23" s="1"/>
      <c r="P23" s="1"/>
      <c r="Q23" s="1"/>
      <c r="R23" s="1"/>
      <c r="S23" s="1"/>
      <c r="T23" s="1"/>
      <c r="U23" s="1"/>
      <c r="V23" s="1"/>
      <c r="W23" s="1"/>
      <c r="X23" s="1"/>
      <c r="Y23" s="1"/>
      <c r="Z23" s="1"/>
    </row>
    <row r="24" ht="15.75" customHeight="1">
      <c r="A24" s="1"/>
      <c r="B24" s="1"/>
      <c r="C24" s="33" t="s">
        <v>33</v>
      </c>
      <c r="D24" s="34">
        <f>'SaaS Audit Worksheet'!F69</f>
        <v>0</v>
      </c>
      <c r="E24" s="34">
        <f>'SaaS Audit Worksheet'!E69*5</f>
        <v>13.5</v>
      </c>
      <c r="F24" s="35">
        <f t="shared" si="1"/>
        <v>0</v>
      </c>
      <c r="G24" s="36" t="str">
        <f t="shared" si="2"/>
        <v>Needs attention</v>
      </c>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37" t="s">
        <v>34</v>
      </c>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9" t="s">
        <v>35</v>
      </c>
      <c r="D28" s="38"/>
      <c r="E28" s="39"/>
      <c r="F28" s="39"/>
      <c r="G28" s="40"/>
      <c r="H28" s="1"/>
      <c r="I28" s="1"/>
      <c r="J28" s="1"/>
      <c r="K28" s="1"/>
      <c r="L28" s="1"/>
      <c r="M28" s="1"/>
      <c r="N28" s="1"/>
      <c r="O28" s="1"/>
      <c r="P28" s="1"/>
      <c r="Q28" s="1"/>
      <c r="R28" s="1"/>
      <c r="S28" s="1"/>
      <c r="T28" s="1"/>
      <c r="U28" s="1"/>
      <c r="V28" s="1"/>
      <c r="W28" s="1"/>
      <c r="X28" s="1"/>
      <c r="Y28" s="1"/>
      <c r="Z28" s="1"/>
    </row>
    <row r="29" ht="15.75" customHeight="1">
      <c r="A29" s="1"/>
      <c r="B29" s="1"/>
      <c r="C29" s="9" t="s">
        <v>36</v>
      </c>
      <c r="D29" s="38"/>
      <c r="E29" s="39"/>
      <c r="F29" s="39"/>
      <c r="G29" s="40"/>
      <c r="H29" s="1"/>
      <c r="I29" s="1"/>
      <c r="J29" s="1"/>
      <c r="K29" s="1"/>
      <c r="L29" s="1"/>
      <c r="M29" s="1"/>
      <c r="N29" s="1"/>
      <c r="O29" s="1"/>
      <c r="P29" s="1"/>
      <c r="Q29" s="1"/>
      <c r="R29" s="1"/>
      <c r="S29" s="1"/>
      <c r="T29" s="1"/>
      <c r="U29" s="1"/>
      <c r="V29" s="1"/>
      <c r="W29" s="1"/>
      <c r="X29" s="1"/>
      <c r="Y29" s="1"/>
      <c r="Z29" s="1"/>
    </row>
    <row r="30" ht="15.75" customHeight="1">
      <c r="A30" s="1"/>
      <c r="B30" s="1"/>
      <c r="C30" s="9" t="s">
        <v>37</v>
      </c>
      <c r="D30" s="38"/>
      <c r="E30" s="39"/>
      <c r="F30" s="39"/>
      <c r="G30" s="40"/>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sheetData>
  <mergeCells count="5">
    <mergeCell ref="C2:K3"/>
    <mergeCell ref="C8:I10"/>
    <mergeCell ref="D28:G28"/>
    <mergeCell ref="D29:G29"/>
    <mergeCell ref="D30:G30"/>
  </mergeCells>
  <printOptions/>
  <pageMargins bottom="0.4" footer="0.0" header="0.0" left="0.3" right="0.3" top="0.4"/>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65.43"/>
    <col customWidth="1" min="2" max="2" width="9.43"/>
    <col customWidth="1" min="3" max="3" width="63.86"/>
    <col customWidth="1" min="4" max="4" width="14.0"/>
    <col customWidth="1" min="5" max="5" width="20.14"/>
    <col customWidth="1" min="6" max="6" width="22.0"/>
    <col customWidth="1" min="7" max="26" width="39.57"/>
  </cols>
  <sheetData>
    <row r="1" ht="24.0" customHeight="1">
      <c r="A1" s="41" t="s">
        <v>38</v>
      </c>
      <c r="B1" s="42"/>
      <c r="C1" s="42"/>
      <c r="D1" s="42"/>
      <c r="E1" s="42"/>
      <c r="F1" s="42"/>
      <c r="G1" s="42"/>
      <c r="H1" s="42"/>
      <c r="I1" s="42"/>
      <c r="J1" s="43"/>
      <c r="K1" s="44"/>
      <c r="L1" s="44"/>
      <c r="M1" s="44"/>
      <c r="N1" s="44"/>
      <c r="O1" s="44"/>
      <c r="P1" s="44"/>
      <c r="Q1" s="44"/>
      <c r="R1" s="44"/>
      <c r="S1" s="44"/>
      <c r="T1" s="44"/>
      <c r="U1" s="44"/>
      <c r="V1" s="44"/>
      <c r="W1" s="44"/>
      <c r="X1" s="44"/>
      <c r="Y1" s="44"/>
      <c r="Z1" s="44"/>
    </row>
    <row r="2" ht="33.75" customHeight="1">
      <c r="A2" s="45" t="s">
        <v>39</v>
      </c>
      <c r="B2" s="42"/>
      <c r="C2" s="42"/>
      <c r="D2" s="42"/>
      <c r="E2" s="42"/>
      <c r="F2" s="42"/>
      <c r="G2" s="42"/>
      <c r="H2" s="42"/>
      <c r="I2" s="42"/>
      <c r="J2" s="43"/>
      <c r="K2" s="44"/>
      <c r="L2" s="44"/>
      <c r="M2" s="44"/>
      <c r="N2" s="44"/>
      <c r="O2" s="44"/>
      <c r="P2" s="44"/>
      <c r="Q2" s="44"/>
      <c r="R2" s="44"/>
      <c r="S2" s="44"/>
      <c r="T2" s="44"/>
      <c r="U2" s="44"/>
      <c r="V2" s="44"/>
      <c r="W2" s="44"/>
      <c r="X2" s="44"/>
      <c r="Y2" s="44"/>
      <c r="Z2" s="44"/>
    </row>
    <row r="3" ht="30.0" customHeight="1">
      <c r="A3" s="27" t="s">
        <v>18</v>
      </c>
      <c r="B3" s="28" t="s">
        <v>40</v>
      </c>
      <c r="C3" s="28" t="s">
        <v>41</v>
      </c>
      <c r="D3" s="28" t="s">
        <v>42</v>
      </c>
      <c r="E3" s="28" t="s">
        <v>43</v>
      </c>
      <c r="F3" s="27" t="s">
        <v>44</v>
      </c>
      <c r="G3" s="28" t="s">
        <v>45</v>
      </c>
      <c r="H3" s="28" t="s">
        <v>46</v>
      </c>
      <c r="I3" s="28" t="s">
        <v>47</v>
      </c>
      <c r="J3" s="28" t="s">
        <v>48</v>
      </c>
      <c r="K3" s="44"/>
      <c r="L3" s="44"/>
      <c r="M3" s="44"/>
      <c r="N3" s="44"/>
      <c r="O3" s="44"/>
      <c r="P3" s="44"/>
      <c r="Q3" s="44"/>
      <c r="R3" s="44"/>
      <c r="S3" s="44"/>
      <c r="T3" s="44"/>
      <c r="U3" s="44"/>
      <c r="V3" s="44"/>
      <c r="W3" s="44"/>
      <c r="X3" s="44"/>
      <c r="Y3" s="44"/>
      <c r="Z3" s="44"/>
    </row>
    <row r="4" ht="21.75" customHeight="1">
      <c r="A4" s="46" t="s">
        <v>49</v>
      </c>
      <c r="B4" s="39"/>
      <c r="C4" s="39"/>
      <c r="D4" s="39"/>
      <c r="E4" s="39"/>
      <c r="F4" s="39"/>
      <c r="G4" s="39"/>
      <c r="H4" s="39"/>
      <c r="I4" s="39"/>
      <c r="J4" s="40"/>
      <c r="K4" s="44"/>
      <c r="L4" s="44"/>
      <c r="M4" s="44"/>
      <c r="N4" s="44"/>
      <c r="O4" s="44"/>
      <c r="P4" s="44"/>
      <c r="Q4" s="44"/>
      <c r="R4" s="44"/>
      <c r="S4" s="44"/>
      <c r="T4" s="44"/>
      <c r="U4" s="44"/>
      <c r="V4" s="44"/>
      <c r="W4" s="44"/>
      <c r="X4" s="44"/>
      <c r="Y4" s="44"/>
      <c r="Z4" s="44"/>
    </row>
    <row r="5" ht="36.0" customHeight="1">
      <c r="A5" s="47" t="s">
        <v>22</v>
      </c>
      <c r="B5" s="48" t="s">
        <v>50</v>
      </c>
      <c r="C5" s="49" t="s">
        <v>51</v>
      </c>
      <c r="D5" s="50"/>
      <c r="E5" s="51">
        <v>1.5</v>
      </c>
      <c r="F5" s="52">
        <f t="shared" ref="F5:F7" si="1">IFERROR(D5*E5,"")</f>
        <v>0</v>
      </c>
      <c r="G5" s="49"/>
      <c r="H5" s="49"/>
      <c r="I5" s="53"/>
      <c r="J5" s="49"/>
      <c r="K5" s="44"/>
      <c r="L5" s="44"/>
      <c r="M5" s="44"/>
      <c r="N5" s="44"/>
      <c r="O5" s="44"/>
      <c r="P5" s="44"/>
      <c r="Q5" s="44"/>
      <c r="R5" s="44"/>
      <c r="S5" s="44"/>
      <c r="T5" s="44"/>
      <c r="U5" s="44"/>
      <c r="V5" s="44"/>
      <c r="W5" s="44"/>
      <c r="X5" s="44"/>
      <c r="Y5" s="44"/>
      <c r="Z5" s="44"/>
    </row>
    <row r="6" ht="36.0" customHeight="1">
      <c r="A6" s="54" t="s">
        <v>22</v>
      </c>
      <c r="B6" s="55" t="s">
        <v>52</v>
      </c>
      <c r="C6" s="56" t="s">
        <v>53</v>
      </c>
      <c r="D6" s="50"/>
      <c r="E6" s="51">
        <v>1.2</v>
      </c>
      <c r="F6" s="52">
        <f t="shared" si="1"/>
        <v>0</v>
      </c>
      <c r="G6" s="56"/>
      <c r="H6" s="56"/>
      <c r="I6" s="57"/>
      <c r="J6" s="56"/>
      <c r="K6" s="44"/>
      <c r="L6" s="44"/>
      <c r="M6" s="44"/>
      <c r="N6" s="44"/>
      <c r="O6" s="44"/>
      <c r="P6" s="44"/>
      <c r="Q6" s="44"/>
      <c r="R6" s="44"/>
      <c r="S6" s="44"/>
      <c r="T6" s="44"/>
      <c r="U6" s="44"/>
      <c r="V6" s="44"/>
      <c r="W6" s="44"/>
      <c r="X6" s="44"/>
      <c r="Y6" s="44"/>
      <c r="Z6" s="44"/>
    </row>
    <row r="7" ht="49.5" customHeight="1">
      <c r="A7" s="47" t="s">
        <v>22</v>
      </c>
      <c r="B7" s="48" t="s">
        <v>54</v>
      </c>
      <c r="C7" s="49" t="s">
        <v>55</v>
      </c>
      <c r="D7" s="50"/>
      <c r="E7" s="51">
        <v>1.3</v>
      </c>
      <c r="F7" s="52">
        <f t="shared" si="1"/>
        <v>0</v>
      </c>
      <c r="G7" s="49"/>
      <c r="H7" s="49"/>
      <c r="I7" s="53"/>
      <c r="J7" s="49"/>
      <c r="K7" s="44"/>
      <c r="L7" s="44"/>
      <c r="M7" s="44"/>
      <c r="N7" s="44"/>
      <c r="O7" s="44"/>
      <c r="P7" s="44"/>
      <c r="Q7" s="44"/>
      <c r="R7" s="44"/>
      <c r="S7" s="44"/>
      <c r="T7" s="44"/>
      <c r="U7" s="44"/>
      <c r="V7" s="44"/>
      <c r="W7" s="44"/>
      <c r="X7" s="44"/>
      <c r="Y7" s="44"/>
      <c r="Z7" s="44"/>
    </row>
    <row r="8" ht="21.75" customHeight="1">
      <c r="A8" s="58" t="s">
        <v>22</v>
      </c>
      <c r="B8" s="58" t="s">
        <v>56</v>
      </c>
      <c r="C8" s="58" t="s">
        <v>57</v>
      </c>
      <c r="D8" s="58"/>
      <c r="E8" s="59">
        <f t="shared" ref="E8:F8" si="2">SUM(E5:E7)</f>
        <v>4</v>
      </c>
      <c r="F8" s="59">
        <f t="shared" si="2"/>
        <v>0</v>
      </c>
      <c r="G8" s="60">
        <f>IFERROR(F8/(E8*5),"")</f>
        <v>0</v>
      </c>
      <c r="H8" s="61"/>
      <c r="I8" s="61"/>
      <c r="J8" s="61"/>
      <c r="K8" s="44"/>
      <c r="L8" s="44"/>
      <c r="M8" s="44"/>
      <c r="N8" s="44"/>
      <c r="O8" s="44"/>
      <c r="P8" s="44"/>
      <c r="Q8" s="44"/>
      <c r="R8" s="44"/>
      <c r="S8" s="44"/>
      <c r="T8" s="44"/>
      <c r="U8" s="44"/>
      <c r="V8" s="44"/>
      <c r="W8" s="44"/>
      <c r="X8" s="44"/>
      <c r="Y8" s="44"/>
      <c r="Z8" s="44"/>
    </row>
    <row r="9" ht="21.75" customHeight="1">
      <c r="A9" s="46" t="s">
        <v>58</v>
      </c>
      <c r="B9" s="39"/>
      <c r="C9" s="39"/>
      <c r="D9" s="39"/>
      <c r="E9" s="39"/>
      <c r="F9" s="39"/>
      <c r="G9" s="39"/>
      <c r="H9" s="39"/>
      <c r="I9" s="39"/>
      <c r="J9" s="40"/>
      <c r="K9" s="44"/>
      <c r="L9" s="44"/>
      <c r="M9" s="44"/>
      <c r="N9" s="44"/>
      <c r="O9" s="44"/>
      <c r="P9" s="44"/>
      <c r="Q9" s="44"/>
      <c r="R9" s="44"/>
      <c r="S9" s="44"/>
      <c r="T9" s="44"/>
      <c r="U9" s="44"/>
      <c r="V9" s="44"/>
      <c r="W9" s="44"/>
      <c r="X9" s="44"/>
      <c r="Y9" s="44"/>
      <c r="Z9" s="44"/>
    </row>
    <row r="10" ht="49.5" customHeight="1">
      <c r="A10" s="54" t="s">
        <v>23</v>
      </c>
      <c r="B10" s="55" t="s">
        <v>59</v>
      </c>
      <c r="C10" s="56" t="s">
        <v>60</v>
      </c>
      <c r="D10" s="50"/>
      <c r="E10" s="51">
        <v>1.2</v>
      </c>
      <c r="F10" s="52">
        <f t="shared" ref="F10:F12" si="3">IFERROR(D10*E10,"")</f>
        <v>0</v>
      </c>
      <c r="G10" s="56"/>
      <c r="H10" s="56"/>
      <c r="I10" s="57"/>
      <c r="J10" s="56"/>
      <c r="K10" s="44"/>
      <c r="L10" s="44"/>
      <c r="M10" s="44"/>
      <c r="N10" s="44"/>
      <c r="O10" s="44"/>
      <c r="P10" s="44"/>
      <c r="Q10" s="44"/>
      <c r="R10" s="44"/>
      <c r="S10" s="44"/>
      <c r="T10" s="44"/>
      <c r="U10" s="44"/>
      <c r="V10" s="44"/>
      <c r="W10" s="44"/>
      <c r="X10" s="44"/>
      <c r="Y10" s="44"/>
      <c r="Z10" s="44"/>
    </row>
    <row r="11" ht="36.0" customHeight="1">
      <c r="A11" s="47" t="s">
        <v>23</v>
      </c>
      <c r="B11" s="48" t="s">
        <v>61</v>
      </c>
      <c r="C11" s="49" t="s">
        <v>62</v>
      </c>
      <c r="D11" s="50"/>
      <c r="E11" s="51">
        <v>1.0</v>
      </c>
      <c r="F11" s="52">
        <f t="shared" si="3"/>
        <v>0</v>
      </c>
      <c r="G11" s="49"/>
      <c r="H11" s="49"/>
      <c r="I11" s="53"/>
      <c r="J11" s="49"/>
      <c r="K11" s="44"/>
      <c r="L11" s="44"/>
      <c r="M11" s="44"/>
      <c r="N11" s="44"/>
      <c r="O11" s="44"/>
      <c r="P11" s="44"/>
      <c r="Q11" s="44"/>
      <c r="R11" s="44"/>
      <c r="S11" s="44"/>
      <c r="T11" s="44"/>
      <c r="U11" s="44"/>
      <c r="V11" s="44"/>
      <c r="W11" s="44"/>
      <c r="X11" s="44"/>
      <c r="Y11" s="44"/>
      <c r="Z11" s="44"/>
    </row>
    <row r="12" ht="36.0" customHeight="1">
      <c r="A12" s="54" t="s">
        <v>23</v>
      </c>
      <c r="B12" s="55" t="s">
        <v>63</v>
      </c>
      <c r="C12" s="56" t="s">
        <v>64</v>
      </c>
      <c r="D12" s="50"/>
      <c r="E12" s="51">
        <v>1.1</v>
      </c>
      <c r="F12" s="52">
        <f t="shared" si="3"/>
        <v>0</v>
      </c>
      <c r="G12" s="56"/>
      <c r="H12" s="56"/>
      <c r="I12" s="57"/>
      <c r="J12" s="56"/>
      <c r="K12" s="44"/>
      <c r="L12" s="44"/>
      <c r="M12" s="44"/>
      <c r="N12" s="44"/>
      <c r="O12" s="44"/>
      <c r="P12" s="44"/>
      <c r="Q12" s="44"/>
      <c r="R12" s="44"/>
      <c r="S12" s="44"/>
      <c r="T12" s="44"/>
      <c r="U12" s="44"/>
      <c r="V12" s="44"/>
      <c r="W12" s="44"/>
      <c r="X12" s="44"/>
      <c r="Y12" s="44"/>
      <c r="Z12" s="44"/>
    </row>
    <row r="13" ht="21.75" customHeight="1">
      <c r="A13" s="58" t="s">
        <v>23</v>
      </c>
      <c r="B13" s="58" t="s">
        <v>65</v>
      </c>
      <c r="C13" s="58" t="s">
        <v>57</v>
      </c>
      <c r="D13" s="58"/>
      <c r="E13" s="59">
        <f t="shared" ref="E13:F13" si="4">SUM(E10:E12)</f>
        <v>3.3</v>
      </c>
      <c r="F13" s="59">
        <f t="shared" si="4"/>
        <v>0</v>
      </c>
      <c r="G13" s="60">
        <f>IFERROR(F13/(E13*5),"")</f>
        <v>0</v>
      </c>
      <c r="H13" s="61"/>
      <c r="I13" s="61"/>
      <c r="J13" s="61"/>
      <c r="K13" s="44"/>
      <c r="L13" s="44"/>
      <c r="M13" s="44"/>
      <c r="N13" s="44"/>
      <c r="O13" s="44"/>
      <c r="P13" s="44"/>
      <c r="Q13" s="44"/>
      <c r="R13" s="44"/>
      <c r="S13" s="44"/>
      <c r="T13" s="44"/>
      <c r="U13" s="44"/>
      <c r="V13" s="44"/>
      <c r="W13" s="44"/>
      <c r="X13" s="44"/>
      <c r="Y13" s="44"/>
      <c r="Z13" s="44"/>
    </row>
    <row r="14" ht="21.75" customHeight="1">
      <c r="A14" s="46" t="s">
        <v>66</v>
      </c>
      <c r="B14" s="39"/>
      <c r="C14" s="39"/>
      <c r="D14" s="39"/>
      <c r="E14" s="39"/>
      <c r="F14" s="39"/>
      <c r="G14" s="39"/>
      <c r="H14" s="39"/>
      <c r="I14" s="39"/>
      <c r="J14" s="40"/>
      <c r="K14" s="44"/>
      <c r="L14" s="44"/>
      <c r="M14" s="44"/>
      <c r="N14" s="44"/>
      <c r="O14" s="44"/>
      <c r="P14" s="44"/>
      <c r="Q14" s="44"/>
      <c r="R14" s="44"/>
      <c r="S14" s="44"/>
      <c r="T14" s="44"/>
      <c r="U14" s="44"/>
      <c r="V14" s="44"/>
      <c r="W14" s="44"/>
      <c r="X14" s="44"/>
      <c r="Y14" s="44"/>
      <c r="Z14" s="44"/>
    </row>
    <row r="15" ht="49.5" customHeight="1">
      <c r="A15" s="47" t="s">
        <v>24</v>
      </c>
      <c r="B15" s="48" t="s">
        <v>67</v>
      </c>
      <c r="C15" s="49" t="s">
        <v>68</v>
      </c>
      <c r="D15" s="50"/>
      <c r="E15" s="51">
        <v>1.5</v>
      </c>
      <c r="F15" s="52">
        <f t="shared" ref="F15:F18" si="5">IFERROR(D15*E15,"")</f>
        <v>0</v>
      </c>
      <c r="G15" s="49"/>
      <c r="H15" s="49"/>
      <c r="I15" s="53"/>
      <c r="J15" s="49"/>
      <c r="K15" s="44"/>
      <c r="L15" s="44"/>
      <c r="M15" s="44"/>
      <c r="N15" s="44"/>
      <c r="O15" s="44"/>
      <c r="P15" s="44"/>
      <c r="Q15" s="44"/>
      <c r="R15" s="44"/>
      <c r="S15" s="44"/>
      <c r="T15" s="44"/>
      <c r="U15" s="44"/>
      <c r="V15" s="44"/>
      <c r="W15" s="44"/>
      <c r="X15" s="44"/>
      <c r="Y15" s="44"/>
      <c r="Z15" s="44"/>
    </row>
    <row r="16" ht="36.0" customHeight="1">
      <c r="A16" s="54" t="s">
        <v>24</v>
      </c>
      <c r="B16" s="55" t="s">
        <v>69</v>
      </c>
      <c r="C16" s="56" t="s">
        <v>70</v>
      </c>
      <c r="D16" s="50"/>
      <c r="E16" s="51">
        <v>1.4</v>
      </c>
      <c r="F16" s="52">
        <f t="shared" si="5"/>
        <v>0</v>
      </c>
      <c r="G16" s="56"/>
      <c r="H16" s="56"/>
      <c r="I16" s="57"/>
      <c r="J16" s="56"/>
      <c r="K16" s="44"/>
      <c r="L16" s="44"/>
      <c r="M16" s="44"/>
      <c r="N16" s="44"/>
      <c r="O16" s="44"/>
      <c r="P16" s="44"/>
      <c r="Q16" s="44"/>
      <c r="R16" s="44"/>
      <c r="S16" s="44"/>
      <c r="T16" s="44"/>
      <c r="U16" s="44"/>
      <c r="V16" s="44"/>
      <c r="W16" s="44"/>
      <c r="X16" s="44"/>
      <c r="Y16" s="44"/>
      <c r="Z16" s="44"/>
    </row>
    <row r="17" ht="49.5" customHeight="1">
      <c r="A17" s="47" t="s">
        <v>24</v>
      </c>
      <c r="B17" s="48" t="s">
        <v>71</v>
      </c>
      <c r="C17" s="49" t="s">
        <v>72</v>
      </c>
      <c r="D17" s="50"/>
      <c r="E17" s="51">
        <v>1.0</v>
      </c>
      <c r="F17" s="52">
        <f t="shared" si="5"/>
        <v>0</v>
      </c>
      <c r="G17" s="49"/>
      <c r="H17" s="49"/>
      <c r="I17" s="53"/>
      <c r="J17" s="49"/>
      <c r="K17" s="44"/>
      <c r="L17" s="44"/>
      <c r="M17" s="44"/>
      <c r="N17" s="44"/>
      <c r="O17" s="44"/>
      <c r="P17" s="44"/>
      <c r="Q17" s="44"/>
      <c r="R17" s="44"/>
      <c r="S17" s="44"/>
      <c r="T17" s="44"/>
      <c r="U17" s="44"/>
      <c r="V17" s="44"/>
      <c r="W17" s="44"/>
      <c r="X17" s="44"/>
      <c r="Y17" s="44"/>
      <c r="Z17" s="44"/>
    </row>
    <row r="18" ht="36.0" customHeight="1">
      <c r="A18" s="54" t="s">
        <v>24</v>
      </c>
      <c r="B18" s="55" t="s">
        <v>73</v>
      </c>
      <c r="C18" s="56" t="s">
        <v>74</v>
      </c>
      <c r="D18" s="50"/>
      <c r="E18" s="51">
        <v>1.1</v>
      </c>
      <c r="F18" s="52">
        <f t="shared" si="5"/>
        <v>0</v>
      </c>
      <c r="G18" s="56"/>
      <c r="H18" s="56"/>
      <c r="I18" s="57"/>
      <c r="J18" s="56"/>
      <c r="K18" s="44"/>
      <c r="L18" s="44"/>
      <c r="M18" s="44"/>
      <c r="N18" s="44"/>
      <c r="O18" s="44"/>
      <c r="P18" s="44"/>
      <c r="Q18" s="44"/>
      <c r="R18" s="44"/>
      <c r="S18" s="44"/>
      <c r="T18" s="44"/>
      <c r="U18" s="44"/>
      <c r="V18" s="44"/>
      <c r="W18" s="44"/>
      <c r="X18" s="44"/>
      <c r="Y18" s="44"/>
      <c r="Z18" s="44"/>
    </row>
    <row r="19" ht="21.75" customHeight="1">
      <c r="A19" s="58" t="s">
        <v>24</v>
      </c>
      <c r="B19" s="58" t="s">
        <v>75</v>
      </c>
      <c r="C19" s="58" t="s">
        <v>57</v>
      </c>
      <c r="D19" s="58"/>
      <c r="E19" s="59">
        <f t="shared" ref="E19:F19" si="6">SUM(E15:E18)</f>
        <v>5</v>
      </c>
      <c r="F19" s="59">
        <f t="shared" si="6"/>
        <v>0</v>
      </c>
      <c r="G19" s="60">
        <f>IFERROR(F19/(E19*5),"")</f>
        <v>0</v>
      </c>
      <c r="H19" s="61"/>
      <c r="I19" s="61"/>
      <c r="J19" s="61"/>
      <c r="K19" s="44"/>
      <c r="L19" s="44"/>
      <c r="M19" s="44"/>
      <c r="N19" s="44"/>
      <c r="O19" s="44"/>
      <c r="P19" s="44"/>
      <c r="Q19" s="44"/>
      <c r="R19" s="44"/>
      <c r="S19" s="44"/>
      <c r="T19" s="44"/>
      <c r="U19" s="44"/>
      <c r="V19" s="44"/>
      <c r="W19" s="44"/>
      <c r="X19" s="44"/>
      <c r="Y19" s="44"/>
      <c r="Z19" s="44"/>
    </row>
    <row r="20" ht="21.75" customHeight="1">
      <c r="A20" s="46" t="s">
        <v>76</v>
      </c>
      <c r="B20" s="39"/>
      <c r="C20" s="39"/>
      <c r="D20" s="39"/>
      <c r="E20" s="39"/>
      <c r="F20" s="39"/>
      <c r="G20" s="39"/>
      <c r="H20" s="39"/>
      <c r="I20" s="39"/>
      <c r="J20" s="40"/>
      <c r="K20" s="44"/>
      <c r="L20" s="44"/>
      <c r="M20" s="44"/>
      <c r="N20" s="44"/>
      <c r="O20" s="44"/>
      <c r="P20" s="44"/>
      <c r="Q20" s="44"/>
      <c r="R20" s="44"/>
      <c r="S20" s="44"/>
      <c r="T20" s="44"/>
      <c r="U20" s="44"/>
      <c r="V20" s="44"/>
      <c r="W20" s="44"/>
      <c r="X20" s="44"/>
      <c r="Y20" s="44"/>
      <c r="Z20" s="44"/>
    </row>
    <row r="21" ht="36.0" customHeight="1">
      <c r="A21" s="47" t="s">
        <v>25</v>
      </c>
      <c r="B21" s="48" t="s">
        <v>77</v>
      </c>
      <c r="C21" s="49" t="s">
        <v>78</v>
      </c>
      <c r="D21" s="50"/>
      <c r="E21" s="51">
        <v>1.5</v>
      </c>
      <c r="F21" s="52">
        <f t="shared" ref="F21:F24" si="7">IFERROR(D21*E21,"")</f>
        <v>0</v>
      </c>
      <c r="G21" s="49"/>
      <c r="H21" s="49"/>
      <c r="I21" s="53"/>
      <c r="J21" s="49"/>
      <c r="K21" s="44"/>
      <c r="L21" s="44"/>
      <c r="M21" s="44"/>
      <c r="N21" s="44"/>
      <c r="O21" s="44"/>
      <c r="P21" s="44"/>
      <c r="Q21" s="44"/>
      <c r="R21" s="44"/>
      <c r="S21" s="44"/>
      <c r="T21" s="44"/>
      <c r="U21" s="44"/>
      <c r="V21" s="44"/>
      <c r="W21" s="44"/>
      <c r="X21" s="44"/>
      <c r="Y21" s="44"/>
      <c r="Z21" s="44"/>
    </row>
    <row r="22" ht="36.0" customHeight="1">
      <c r="A22" s="54" t="s">
        <v>25</v>
      </c>
      <c r="B22" s="55" t="s">
        <v>79</v>
      </c>
      <c r="C22" s="56" t="s">
        <v>80</v>
      </c>
      <c r="D22" s="50"/>
      <c r="E22" s="51">
        <v>1.0</v>
      </c>
      <c r="F22" s="52">
        <f t="shared" si="7"/>
        <v>0</v>
      </c>
      <c r="G22" s="56"/>
      <c r="H22" s="56"/>
      <c r="I22" s="57"/>
      <c r="J22" s="56"/>
      <c r="K22" s="44"/>
      <c r="L22" s="44"/>
      <c r="M22" s="44"/>
      <c r="N22" s="44"/>
      <c r="O22" s="44"/>
      <c r="P22" s="44"/>
      <c r="Q22" s="44"/>
      <c r="R22" s="44"/>
      <c r="S22" s="44"/>
      <c r="T22" s="44"/>
      <c r="U22" s="44"/>
      <c r="V22" s="44"/>
      <c r="W22" s="44"/>
      <c r="X22" s="44"/>
      <c r="Y22" s="44"/>
      <c r="Z22" s="44"/>
    </row>
    <row r="23" ht="36.0" customHeight="1">
      <c r="A23" s="47" t="s">
        <v>25</v>
      </c>
      <c r="B23" s="48" t="s">
        <v>81</v>
      </c>
      <c r="C23" s="49" t="s">
        <v>82</v>
      </c>
      <c r="D23" s="50"/>
      <c r="E23" s="51">
        <v>1.3</v>
      </c>
      <c r="F23" s="52">
        <f t="shared" si="7"/>
        <v>0</v>
      </c>
      <c r="G23" s="49"/>
      <c r="H23" s="49"/>
      <c r="I23" s="53"/>
      <c r="J23" s="49"/>
      <c r="K23" s="44"/>
      <c r="L23" s="44"/>
      <c r="M23" s="44"/>
      <c r="N23" s="44"/>
      <c r="O23" s="44"/>
      <c r="P23" s="44"/>
      <c r="Q23" s="44"/>
      <c r="R23" s="44"/>
      <c r="S23" s="44"/>
      <c r="T23" s="44"/>
      <c r="U23" s="44"/>
      <c r="V23" s="44"/>
      <c r="W23" s="44"/>
      <c r="X23" s="44"/>
      <c r="Y23" s="44"/>
      <c r="Z23" s="44"/>
    </row>
    <row r="24" ht="36.0" customHeight="1">
      <c r="A24" s="54" t="s">
        <v>25</v>
      </c>
      <c r="B24" s="55" t="s">
        <v>83</v>
      </c>
      <c r="C24" s="56" t="s">
        <v>84</v>
      </c>
      <c r="D24" s="50"/>
      <c r="E24" s="51">
        <v>1.2</v>
      </c>
      <c r="F24" s="52">
        <f t="shared" si="7"/>
        <v>0</v>
      </c>
      <c r="G24" s="56"/>
      <c r="H24" s="56"/>
      <c r="I24" s="57"/>
      <c r="J24" s="56"/>
      <c r="K24" s="44"/>
      <c r="L24" s="44"/>
      <c r="M24" s="44"/>
      <c r="N24" s="44"/>
      <c r="O24" s="44"/>
      <c r="P24" s="44"/>
      <c r="Q24" s="44"/>
      <c r="R24" s="44"/>
      <c r="S24" s="44"/>
      <c r="T24" s="44"/>
      <c r="U24" s="44"/>
      <c r="V24" s="44"/>
      <c r="W24" s="44"/>
      <c r="X24" s="44"/>
      <c r="Y24" s="44"/>
      <c r="Z24" s="44"/>
    </row>
    <row r="25" ht="21.75" customHeight="1">
      <c r="A25" s="58" t="s">
        <v>25</v>
      </c>
      <c r="B25" s="58" t="s">
        <v>85</v>
      </c>
      <c r="C25" s="58" t="s">
        <v>57</v>
      </c>
      <c r="D25" s="58"/>
      <c r="E25" s="59">
        <f t="shared" ref="E25:F25" si="8">SUM(E21:E24)</f>
        <v>5</v>
      </c>
      <c r="F25" s="59">
        <f t="shared" si="8"/>
        <v>0</v>
      </c>
      <c r="G25" s="60">
        <f>IFERROR(F25/(E25*5),"")</f>
        <v>0</v>
      </c>
      <c r="H25" s="61"/>
      <c r="I25" s="61"/>
      <c r="J25" s="61"/>
      <c r="K25" s="44"/>
      <c r="L25" s="44"/>
      <c r="M25" s="44"/>
      <c r="N25" s="44"/>
      <c r="O25" s="44"/>
      <c r="P25" s="44"/>
      <c r="Q25" s="44"/>
      <c r="R25" s="44"/>
      <c r="S25" s="44"/>
      <c r="T25" s="44"/>
      <c r="U25" s="44"/>
      <c r="V25" s="44"/>
      <c r="W25" s="44"/>
      <c r="X25" s="44"/>
      <c r="Y25" s="44"/>
      <c r="Z25" s="44"/>
    </row>
    <row r="26" ht="21.75" customHeight="1">
      <c r="A26" s="46" t="s">
        <v>86</v>
      </c>
      <c r="B26" s="39"/>
      <c r="C26" s="39"/>
      <c r="D26" s="39"/>
      <c r="E26" s="39"/>
      <c r="F26" s="39"/>
      <c r="G26" s="39"/>
      <c r="H26" s="39"/>
      <c r="I26" s="39"/>
      <c r="J26" s="40"/>
      <c r="K26" s="44"/>
      <c r="L26" s="44"/>
      <c r="M26" s="44"/>
      <c r="N26" s="44"/>
      <c r="O26" s="44"/>
      <c r="P26" s="44"/>
      <c r="Q26" s="44"/>
      <c r="R26" s="44"/>
      <c r="S26" s="44"/>
      <c r="T26" s="44"/>
      <c r="U26" s="44"/>
      <c r="V26" s="44"/>
      <c r="W26" s="44"/>
      <c r="X26" s="44"/>
      <c r="Y26" s="44"/>
      <c r="Z26" s="44"/>
    </row>
    <row r="27" ht="36.0" customHeight="1">
      <c r="A27" s="47" t="s">
        <v>26</v>
      </c>
      <c r="B27" s="48" t="s">
        <v>87</v>
      </c>
      <c r="C27" s="49" t="s">
        <v>88</v>
      </c>
      <c r="D27" s="50"/>
      <c r="E27" s="51">
        <v>1.0</v>
      </c>
      <c r="F27" s="52">
        <f t="shared" ref="F27:F29" si="9">IFERROR(D27*E27,"")</f>
        <v>0</v>
      </c>
      <c r="G27" s="49"/>
      <c r="H27" s="49"/>
      <c r="I27" s="53"/>
      <c r="J27" s="49"/>
      <c r="K27" s="44"/>
      <c r="L27" s="44"/>
      <c r="M27" s="44"/>
      <c r="N27" s="44"/>
      <c r="O27" s="44"/>
      <c r="P27" s="44"/>
      <c r="Q27" s="44"/>
      <c r="R27" s="44"/>
      <c r="S27" s="44"/>
      <c r="T27" s="44"/>
      <c r="U27" s="44"/>
      <c r="V27" s="44"/>
      <c r="W27" s="44"/>
      <c r="X27" s="44"/>
      <c r="Y27" s="44"/>
      <c r="Z27" s="44"/>
    </row>
    <row r="28" ht="36.0" customHeight="1">
      <c r="A28" s="54" t="s">
        <v>26</v>
      </c>
      <c r="B28" s="55" t="s">
        <v>89</v>
      </c>
      <c r="C28" s="56" t="s">
        <v>90</v>
      </c>
      <c r="D28" s="50"/>
      <c r="E28" s="51">
        <v>1.1</v>
      </c>
      <c r="F28" s="52">
        <f t="shared" si="9"/>
        <v>0</v>
      </c>
      <c r="G28" s="56"/>
      <c r="H28" s="56"/>
      <c r="I28" s="57"/>
      <c r="J28" s="56"/>
      <c r="K28" s="44"/>
      <c r="L28" s="44"/>
      <c r="M28" s="44"/>
      <c r="N28" s="44"/>
      <c r="O28" s="44"/>
      <c r="P28" s="44"/>
      <c r="Q28" s="44"/>
      <c r="R28" s="44"/>
      <c r="S28" s="44"/>
      <c r="T28" s="44"/>
      <c r="U28" s="44"/>
      <c r="V28" s="44"/>
      <c r="W28" s="44"/>
      <c r="X28" s="44"/>
      <c r="Y28" s="44"/>
      <c r="Z28" s="44"/>
    </row>
    <row r="29" ht="49.5" customHeight="1">
      <c r="A29" s="47" t="s">
        <v>26</v>
      </c>
      <c r="B29" s="48" t="s">
        <v>91</v>
      </c>
      <c r="C29" s="49" t="s">
        <v>92</v>
      </c>
      <c r="D29" s="50"/>
      <c r="E29" s="51">
        <v>1.2</v>
      </c>
      <c r="F29" s="52">
        <f t="shared" si="9"/>
        <v>0</v>
      </c>
      <c r="G29" s="49"/>
      <c r="H29" s="49"/>
      <c r="I29" s="53"/>
      <c r="J29" s="49"/>
      <c r="K29" s="44"/>
      <c r="L29" s="44"/>
      <c r="M29" s="44"/>
      <c r="N29" s="44"/>
      <c r="O29" s="44"/>
      <c r="P29" s="44"/>
      <c r="Q29" s="44"/>
      <c r="R29" s="44"/>
      <c r="S29" s="44"/>
      <c r="T29" s="44"/>
      <c r="U29" s="44"/>
      <c r="V29" s="44"/>
      <c r="W29" s="44"/>
      <c r="X29" s="44"/>
      <c r="Y29" s="44"/>
      <c r="Z29" s="44"/>
    </row>
    <row r="30" ht="21.75" customHeight="1">
      <c r="A30" s="58" t="s">
        <v>26</v>
      </c>
      <c r="B30" s="58" t="s">
        <v>93</v>
      </c>
      <c r="C30" s="58" t="s">
        <v>57</v>
      </c>
      <c r="D30" s="58"/>
      <c r="E30" s="59">
        <f t="shared" ref="E30:F30" si="10">SUM(E27:E29)</f>
        <v>3.3</v>
      </c>
      <c r="F30" s="59">
        <f t="shared" si="10"/>
        <v>0</v>
      </c>
      <c r="G30" s="60">
        <f>IFERROR(F30/(E30*5),"")</f>
        <v>0</v>
      </c>
      <c r="H30" s="61"/>
      <c r="I30" s="61"/>
      <c r="J30" s="61"/>
      <c r="K30" s="44"/>
      <c r="L30" s="44"/>
      <c r="M30" s="44"/>
      <c r="N30" s="44"/>
      <c r="O30" s="44"/>
      <c r="P30" s="44"/>
      <c r="Q30" s="44"/>
      <c r="R30" s="44"/>
      <c r="S30" s="44"/>
      <c r="T30" s="44"/>
      <c r="U30" s="44"/>
      <c r="V30" s="44"/>
      <c r="W30" s="44"/>
      <c r="X30" s="44"/>
      <c r="Y30" s="44"/>
      <c r="Z30" s="44"/>
    </row>
    <row r="31" ht="21.75" customHeight="1">
      <c r="A31" s="46" t="s">
        <v>94</v>
      </c>
      <c r="B31" s="39"/>
      <c r="C31" s="39"/>
      <c r="D31" s="39"/>
      <c r="E31" s="39"/>
      <c r="F31" s="39"/>
      <c r="G31" s="39"/>
      <c r="H31" s="39"/>
      <c r="I31" s="39"/>
      <c r="J31" s="40"/>
      <c r="K31" s="44"/>
      <c r="L31" s="44"/>
      <c r="M31" s="44"/>
      <c r="N31" s="44"/>
      <c r="O31" s="44"/>
      <c r="P31" s="44"/>
      <c r="Q31" s="44"/>
      <c r="R31" s="44"/>
      <c r="S31" s="44"/>
      <c r="T31" s="44"/>
      <c r="U31" s="44"/>
      <c r="V31" s="44"/>
      <c r="W31" s="44"/>
      <c r="X31" s="44"/>
      <c r="Y31" s="44"/>
      <c r="Z31" s="44"/>
    </row>
    <row r="32" ht="36.0" customHeight="1">
      <c r="A32" s="54" t="s">
        <v>27</v>
      </c>
      <c r="B32" s="55" t="s">
        <v>95</v>
      </c>
      <c r="C32" s="56" t="s">
        <v>96</v>
      </c>
      <c r="D32" s="50"/>
      <c r="E32" s="51">
        <v>1.3</v>
      </c>
      <c r="F32" s="52">
        <f t="shared" ref="F32:F35" si="11">IFERROR(D32*E32,"")</f>
        <v>0</v>
      </c>
      <c r="G32" s="56"/>
      <c r="H32" s="56"/>
      <c r="I32" s="57"/>
      <c r="J32" s="56"/>
      <c r="K32" s="44"/>
      <c r="L32" s="44"/>
      <c r="M32" s="44"/>
      <c r="N32" s="44"/>
      <c r="O32" s="44"/>
      <c r="P32" s="44"/>
      <c r="Q32" s="44"/>
      <c r="R32" s="44"/>
      <c r="S32" s="44"/>
      <c r="T32" s="44"/>
      <c r="U32" s="44"/>
      <c r="V32" s="44"/>
      <c r="W32" s="44"/>
      <c r="X32" s="44"/>
      <c r="Y32" s="44"/>
      <c r="Z32" s="44"/>
    </row>
    <row r="33" ht="36.0" customHeight="1">
      <c r="A33" s="47" t="s">
        <v>27</v>
      </c>
      <c r="B33" s="48" t="s">
        <v>97</v>
      </c>
      <c r="C33" s="49" t="s">
        <v>98</v>
      </c>
      <c r="D33" s="50"/>
      <c r="E33" s="51">
        <v>1.2</v>
      </c>
      <c r="F33" s="52">
        <f t="shared" si="11"/>
        <v>0</v>
      </c>
      <c r="G33" s="49"/>
      <c r="H33" s="49"/>
      <c r="I33" s="53"/>
      <c r="J33" s="49"/>
      <c r="K33" s="44"/>
      <c r="L33" s="44"/>
      <c r="M33" s="44"/>
      <c r="N33" s="44"/>
      <c r="O33" s="44"/>
      <c r="P33" s="44"/>
      <c r="Q33" s="44"/>
      <c r="R33" s="44"/>
      <c r="S33" s="44"/>
      <c r="T33" s="44"/>
      <c r="U33" s="44"/>
      <c r="V33" s="44"/>
      <c r="W33" s="44"/>
      <c r="X33" s="44"/>
      <c r="Y33" s="44"/>
      <c r="Z33" s="44"/>
    </row>
    <row r="34" ht="36.0" customHeight="1">
      <c r="A34" s="54" t="s">
        <v>27</v>
      </c>
      <c r="B34" s="55" t="s">
        <v>99</v>
      </c>
      <c r="C34" s="56" t="s">
        <v>100</v>
      </c>
      <c r="D34" s="50"/>
      <c r="E34" s="51">
        <v>1.1</v>
      </c>
      <c r="F34" s="52">
        <f t="shared" si="11"/>
        <v>0</v>
      </c>
      <c r="G34" s="56"/>
      <c r="H34" s="56"/>
      <c r="I34" s="57"/>
      <c r="J34" s="56"/>
      <c r="K34" s="44"/>
      <c r="L34" s="44"/>
      <c r="M34" s="44"/>
      <c r="N34" s="44"/>
      <c r="O34" s="44"/>
      <c r="P34" s="44"/>
      <c r="Q34" s="44"/>
      <c r="R34" s="44"/>
      <c r="S34" s="44"/>
      <c r="T34" s="44"/>
      <c r="U34" s="44"/>
      <c r="V34" s="44"/>
      <c r="W34" s="44"/>
      <c r="X34" s="44"/>
      <c r="Y34" s="44"/>
      <c r="Z34" s="44"/>
    </row>
    <row r="35" ht="36.0" customHeight="1">
      <c r="A35" s="47" t="s">
        <v>27</v>
      </c>
      <c r="B35" s="48" t="s">
        <v>101</v>
      </c>
      <c r="C35" s="49" t="s">
        <v>102</v>
      </c>
      <c r="D35" s="50"/>
      <c r="E35" s="51">
        <v>1.2</v>
      </c>
      <c r="F35" s="52">
        <f t="shared" si="11"/>
        <v>0</v>
      </c>
      <c r="G35" s="49"/>
      <c r="H35" s="49"/>
      <c r="I35" s="53"/>
      <c r="J35" s="49"/>
      <c r="K35" s="44"/>
      <c r="L35" s="44"/>
      <c r="M35" s="44"/>
      <c r="N35" s="44"/>
      <c r="O35" s="44"/>
      <c r="P35" s="44"/>
      <c r="Q35" s="44"/>
      <c r="R35" s="44"/>
      <c r="S35" s="44"/>
      <c r="T35" s="44"/>
      <c r="U35" s="44"/>
      <c r="V35" s="44"/>
      <c r="W35" s="44"/>
      <c r="X35" s="44"/>
      <c r="Y35" s="44"/>
      <c r="Z35" s="44"/>
    </row>
    <row r="36" ht="21.75" customHeight="1">
      <c r="A36" s="58" t="s">
        <v>27</v>
      </c>
      <c r="B36" s="58" t="s">
        <v>103</v>
      </c>
      <c r="C36" s="58" t="s">
        <v>57</v>
      </c>
      <c r="D36" s="58"/>
      <c r="E36" s="59">
        <f t="shared" ref="E36:F36" si="12">SUM(E32:E35)</f>
        <v>4.8</v>
      </c>
      <c r="F36" s="59">
        <f t="shared" si="12"/>
        <v>0</v>
      </c>
      <c r="G36" s="60">
        <f>IFERROR(F36/(E36*5),"")</f>
        <v>0</v>
      </c>
      <c r="H36" s="61"/>
      <c r="I36" s="61"/>
      <c r="J36" s="61"/>
      <c r="K36" s="44"/>
      <c r="L36" s="44"/>
      <c r="M36" s="44"/>
      <c r="N36" s="44"/>
      <c r="O36" s="44"/>
      <c r="P36" s="44"/>
      <c r="Q36" s="44"/>
      <c r="R36" s="44"/>
      <c r="S36" s="44"/>
      <c r="T36" s="44"/>
      <c r="U36" s="44"/>
      <c r="V36" s="44"/>
      <c r="W36" s="44"/>
      <c r="X36" s="44"/>
      <c r="Y36" s="44"/>
      <c r="Z36" s="44"/>
    </row>
    <row r="37" ht="21.75" customHeight="1">
      <c r="A37" s="46" t="s">
        <v>104</v>
      </c>
      <c r="B37" s="39"/>
      <c r="C37" s="39"/>
      <c r="D37" s="39"/>
      <c r="E37" s="39"/>
      <c r="F37" s="39"/>
      <c r="G37" s="39"/>
      <c r="H37" s="39"/>
      <c r="I37" s="39"/>
      <c r="J37" s="40"/>
      <c r="K37" s="44"/>
      <c r="L37" s="44"/>
      <c r="M37" s="44"/>
      <c r="N37" s="44"/>
      <c r="O37" s="44"/>
      <c r="P37" s="44"/>
      <c r="Q37" s="44"/>
      <c r="R37" s="44"/>
      <c r="S37" s="44"/>
      <c r="T37" s="44"/>
      <c r="U37" s="44"/>
      <c r="V37" s="44"/>
      <c r="W37" s="44"/>
      <c r="X37" s="44"/>
      <c r="Y37" s="44"/>
      <c r="Z37" s="44"/>
    </row>
    <row r="38" ht="36.0" customHeight="1">
      <c r="A38" s="54" t="s">
        <v>28</v>
      </c>
      <c r="B38" s="55" t="s">
        <v>105</v>
      </c>
      <c r="C38" s="56" t="s">
        <v>106</v>
      </c>
      <c r="D38" s="50"/>
      <c r="E38" s="51">
        <v>1.0</v>
      </c>
      <c r="F38" s="52">
        <f t="shared" ref="F38:F41" si="13">IFERROR(D38*E38,"")</f>
        <v>0</v>
      </c>
      <c r="G38" s="56"/>
      <c r="H38" s="56"/>
      <c r="I38" s="57"/>
      <c r="J38" s="56"/>
      <c r="K38" s="44"/>
      <c r="L38" s="44"/>
      <c r="M38" s="44"/>
      <c r="N38" s="44"/>
      <c r="O38" s="44"/>
      <c r="P38" s="44"/>
      <c r="Q38" s="44"/>
      <c r="R38" s="44"/>
      <c r="S38" s="44"/>
      <c r="T38" s="44"/>
      <c r="U38" s="44"/>
      <c r="V38" s="44"/>
      <c r="W38" s="44"/>
      <c r="X38" s="44"/>
      <c r="Y38" s="44"/>
      <c r="Z38" s="44"/>
    </row>
    <row r="39" ht="49.5" customHeight="1">
      <c r="A39" s="47" t="s">
        <v>28</v>
      </c>
      <c r="B39" s="48" t="s">
        <v>107</v>
      </c>
      <c r="C39" s="49" t="s">
        <v>108</v>
      </c>
      <c r="D39" s="50"/>
      <c r="E39" s="51">
        <v>1.2</v>
      </c>
      <c r="F39" s="52">
        <f t="shared" si="13"/>
        <v>0</v>
      </c>
      <c r="G39" s="49"/>
      <c r="H39" s="49"/>
      <c r="I39" s="53"/>
      <c r="J39" s="49"/>
      <c r="K39" s="44"/>
      <c r="L39" s="44"/>
      <c r="M39" s="44"/>
      <c r="N39" s="44"/>
      <c r="O39" s="44"/>
      <c r="P39" s="44"/>
      <c r="Q39" s="44"/>
      <c r="R39" s="44"/>
      <c r="S39" s="44"/>
      <c r="T39" s="44"/>
      <c r="U39" s="44"/>
      <c r="V39" s="44"/>
      <c r="W39" s="44"/>
      <c r="X39" s="44"/>
      <c r="Y39" s="44"/>
      <c r="Z39" s="44"/>
    </row>
    <row r="40" ht="36.0" customHeight="1">
      <c r="A40" s="54" t="s">
        <v>28</v>
      </c>
      <c r="B40" s="55" t="s">
        <v>109</v>
      </c>
      <c r="C40" s="56" t="s">
        <v>110</v>
      </c>
      <c r="D40" s="50"/>
      <c r="E40" s="51">
        <v>1.1</v>
      </c>
      <c r="F40" s="52">
        <f t="shared" si="13"/>
        <v>0</v>
      </c>
      <c r="G40" s="56"/>
      <c r="H40" s="56"/>
      <c r="I40" s="57"/>
      <c r="J40" s="56"/>
      <c r="K40" s="44"/>
      <c r="L40" s="44"/>
      <c r="M40" s="44"/>
      <c r="N40" s="44"/>
      <c r="O40" s="44"/>
      <c r="P40" s="44"/>
      <c r="Q40" s="44"/>
      <c r="R40" s="44"/>
      <c r="S40" s="44"/>
      <c r="T40" s="44"/>
      <c r="U40" s="44"/>
      <c r="V40" s="44"/>
      <c r="W40" s="44"/>
      <c r="X40" s="44"/>
      <c r="Y40" s="44"/>
      <c r="Z40" s="44"/>
    </row>
    <row r="41" ht="36.0" customHeight="1">
      <c r="A41" s="47" t="s">
        <v>28</v>
      </c>
      <c r="B41" s="48" t="s">
        <v>111</v>
      </c>
      <c r="C41" s="49" t="s">
        <v>112</v>
      </c>
      <c r="D41" s="50"/>
      <c r="E41" s="51">
        <v>0.9</v>
      </c>
      <c r="F41" s="52">
        <f t="shared" si="13"/>
        <v>0</v>
      </c>
      <c r="G41" s="49"/>
      <c r="H41" s="49"/>
      <c r="I41" s="53"/>
      <c r="J41" s="49"/>
      <c r="K41" s="44"/>
      <c r="L41" s="44"/>
      <c r="M41" s="44"/>
      <c r="N41" s="44"/>
      <c r="O41" s="44"/>
      <c r="P41" s="44"/>
      <c r="Q41" s="44"/>
      <c r="R41" s="44"/>
      <c r="S41" s="44"/>
      <c r="T41" s="44"/>
      <c r="U41" s="44"/>
      <c r="V41" s="44"/>
      <c r="W41" s="44"/>
      <c r="X41" s="44"/>
      <c r="Y41" s="44"/>
      <c r="Z41" s="44"/>
    </row>
    <row r="42" ht="21.75" customHeight="1">
      <c r="A42" s="58" t="s">
        <v>28</v>
      </c>
      <c r="B42" s="58" t="s">
        <v>113</v>
      </c>
      <c r="C42" s="58" t="s">
        <v>57</v>
      </c>
      <c r="D42" s="58"/>
      <c r="E42" s="59">
        <f t="shared" ref="E42:F42" si="14">SUM(E38:E41)</f>
        <v>4.2</v>
      </c>
      <c r="F42" s="59">
        <f t="shared" si="14"/>
        <v>0</v>
      </c>
      <c r="G42" s="60">
        <f>IFERROR(F42/(E42*5),"")</f>
        <v>0</v>
      </c>
      <c r="H42" s="61"/>
      <c r="I42" s="61"/>
      <c r="J42" s="61"/>
      <c r="K42" s="44"/>
      <c r="L42" s="44"/>
      <c r="M42" s="44"/>
      <c r="N42" s="44"/>
      <c r="O42" s="44"/>
      <c r="P42" s="44"/>
      <c r="Q42" s="44"/>
      <c r="R42" s="44"/>
      <c r="S42" s="44"/>
      <c r="T42" s="44"/>
      <c r="U42" s="44"/>
      <c r="V42" s="44"/>
      <c r="W42" s="44"/>
      <c r="X42" s="44"/>
      <c r="Y42" s="44"/>
      <c r="Z42" s="44"/>
    </row>
    <row r="43" ht="21.75" customHeight="1">
      <c r="A43" s="46" t="s">
        <v>114</v>
      </c>
      <c r="B43" s="39"/>
      <c r="C43" s="39"/>
      <c r="D43" s="39"/>
      <c r="E43" s="39"/>
      <c r="F43" s="39"/>
      <c r="G43" s="39"/>
      <c r="H43" s="39"/>
      <c r="I43" s="39"/>
      <c r="J43" s="40"/>
      <c r="K43" s="44"/>
      <c r="L43" s="44"/>
      <c r="M43" s="44"/>
      <c r="N43" s="44"/>
      <c r="O43" s="44"/>
      <c r="P43" s="44"/>
      <c r="Q43" s="44"/>
      <c r="R43" s="44"/>
      <c r="S43" s="44"/>
      <c r="T43" s="44"/>
      <c r="U43" s="44"/>
      <c r="V43" s="44"/>
      <c r="W43" s="44"/>
      <c r="X43" s="44"/>
      <c r="Y43" s="44"/>
      <c r="Z43" s="44"/>
    </row>
    <row r="44" ht="36.0" customHeight="1">
      <c r="A44" s="54" t="s">
        <v>29</v>
      </c>
      <c r="B44" s="55" t="s">
        <v>115</v>
      </c>
      <c r="C44" s="56" t="s">
        <v>116</v>
      </c>
      <c r="D44" s="50"/>
      <c r="E44" s="51">
        <v>1.2</v>
      </c>
      <c r="F44" s="52">
        <f t="shared" ref="F44:F47" si="15">IFERROR(D44*E44,"")</f>
        <v>0</v>
      </c>
      <c r="G44" s="56"/>
      <c r="H44" s="56"/>
      <c r="I44" s="57"/>
      <c r="J44" s="56"/>
      <c r="K44" s="44"/>
      <c r="L44" s="44"/>
      <c r="M44" s="44"/>
      <c r="N44" s="44"/>
      <c r="O44" s="44"/>
      <c r="P44" s="44"/>
      <c r="Q44" s="44"/>
      <c r="R44" s="44"/>
      <c r="S44" s="44"/>
      <c r="T44" s="44"/>
      <c r="U44" s="44"/>
      <c r="V44" s="44"/>
      <c r="W44" s="44"/>
      <c r="X44" s="44"/>
      <c r="Y44" s="44"/>
      <c r="Z44" s="44"/>
    </row>
    <row r="45" ht="36.0" customHeight="1">
      <c r="A45" s="47" t="s">
        <v>29</v>
      </c>
      <c r="B45" s="48" t="s">
        <v>117</v>
      </c>
      <c r="C45" s="49" t="s">
        <v>118</v>
      </c>
      <c r="D45" s="50"/>
      <c r="E45" s="51">
        <v>1.1</v>
      </c>
      <c r="F45" s="52">
        <f t="shared" si="15"/>
        <v>0</v>
      </c>
      <c r="G45" s="49"/>
      <c r="H45" s="49"/>
      <c r="I45" s="53"/>
      <c r="J45" s="49"/>
      <c r="K45" s="44"/>
      <c r="L45" s="44"/>
      <c r="M45" s="44"/>
      <c r="N45" s="44"/>
      <c r="O45" s="44"/>
      <c r="P45" s="44"/>
      <c r="Q45" s="44"/>
      <c r="R45" s="44"/>
      <c r="S45" s="44"/>
      <c r="T45" s="44"/>
      <c r="U45" s="44"/>
      <c r="V45" s="44"/>
      <c r="W45" s="44"/>
      <c r="X45" s="44"/>
      <c r="Y45" s="44"/>
      <c r="Z45" s="44"/>
    </row>
    <row r="46" ht="36.0" customHeight="1">
      <c r="A46" s="54" t="s">
        <v>29</v>
      </c>
      <c r="B46" s="55" t="s">
        <v>119</v>
      </c>
      <c r="C46" s="56" t="s">
        <v>120</v>
      </c>
      <c r="D46" s="50"/>
      <c r="E46" s="51">
        <v>1.0</v>
      </c>
      <c r="F46" s="52">
        <f t="shared" si="15"/>
        <v>0</v>
      </c>
      <c r="G46" s="56"/>
      <c r="H46" s="56"/>
      <c r="I46" s="57"/>
      <c r="J46" s="56"/>
      <c r="K46" s="44"/>
      <c r="L46" s="44"/>
      <c r="M46" s="44"/>
      <c r="N46" s="44"/>
      <c r="O46" s="44"/>
      <c r="P46" s="44"/>
      <c r="Q46" s="44"/>
      <c r="R46" s="44"/>
      <c r="S46" s="44"/>
      <c r="T46" s="44"/>
      <c r="U46" s="44"/>
      <c r="V46" s="44"/>
      <c r="W46" s="44"/>
      <c r="X46" s="44"/>
      <c r="Y46" s="44"/>
      <c r="Z46" s="44"/>
    </row>
    <row r="47" ht="36.0" customHeight="1">
      <c r="A47" s="47" t="s">
        <v>29</v>
      </c>
      <c r="B47" s="48" t="s">
        <v>121</v>
      </c>
      <c r="C47" s="49" t="s">
        <v>122</v>
      </c>
      <c r="D47" s="50"/>
      <c r="E47" s="51">
        <v>1.0</v>
      </c>
      <c r="F47" s="52">
        <f t="shared" si="15"/>
        <v>0</v>
      </c>
      <c r="G47" s="49"/>
      <c r="H47" s="49"/>
      <c r="I47" s="53"/>
      <c r="J47" s="49"/>
      <c r="K47" s="44"/>
      <c r="L47" s="44"/>
      <c r="M47" s="44"/>
      <c r="N47" s="44"/>
      <c r="O47" s="44"/>
      <c r="P47" s="44"/>
      <c r="Q47" s="44"/>
      <c r="R47" s="44"/>
      <c r="S47" s="44"/>
      <c r="T47" s="44"/>
      <c r="U47" s="44"/>
      <c r="V47" s="44"/>
      <c r="W47" s="44"/>
      <c r="X47" s="44"/>
      <c r="Y47" s="44"/>
      <c r="Z47" s="44"/>
    </row>
    <row r="48" ht="21.75" customHeight="1">
      <c r="A48" s="58" t="s">
        <v>29</v>
      </c>
      <c r="B48" s="58" t="s">
        <v>123</v>
      </c>
      <c r="C48" s="58" t="s">
        <v>57</v>
      </c>
      <c r="D48" s="58"/>
      <c r="E48" s="59">
        <f t="shared" ref="E48:F48" si="16">SUM(E44:E47)</f>
        <v>4.3</v>
      </c>
      <c r="F48" s="59">
        <f t="shared" si="16"/>
        <v>0</v>
      </c>
      <c r="G48" s="60">
        <f>IFERROR(F48/(E48*5),"")</f>
        <v>0</v>
      </c>
      <c r="H48" s="61"/>
      <c r="I48" s="61"/>
      <c r="J48" s="61"/>
      <c r="K48" s="44"/>
      <c r="L48" s="44"/>
      <c r="M48" s="44"/>
      <c r="N48" s="44"/>
      <c r="O48" s="44"/>
      <c r="P48" s="44"/>
      <c r="Q48" s="44"/>
      <c r="R48" s="44"/>
      <c r="S48" s="44"/>
      <c r="T48" s="44"/>
      <c r="U48" s="44"/>
      <c r="V48" s="44"/>
      <c r="W48" s="44"/>
      <c r="X48" s="44"/>
      <c r="Y48" s="44"/>
      <c r="Z48" s="44"/>
    </row>
    <row r="49" ht="21.75" customHeight="1">
      <c r="A49" s="46" t="s">
        <v>124</v>
      </c>
      <c r="B49" s="39"/>
      <c r="C49" s="39"/>
      <c r="D49" s="39"/>
      <c r="E49" s="39"/>
      <c r="F49" s="39"/>
      <c r="G49" s="39"/>
      <c r="H49" s="39"/>
      <c r="I49" s="39"/>
      <c r="J49" s="40"/>
      <c r="K49" s="44"/>
      <c r="L49" s="44"/>
      <c r="M49" s="44"/>
      <c r="N49" s="44"/>
      <c r="O49" s="44"/>
      <c r="P49" s="44"/>
      <c r="Q49" s="44"/>
      <c r="R49" s="44"/>
      <c r="S49" s="44"/>
      <c r="T49" s="44"/>
      <c r="U49" s="44"/>
      <c r="V49" s="44"/>
      <c r="W49" s="44"/>
      <c r="X49" s="44"/>
      <c r="Y49" s="44"/>
      <c r="Z49" s="44"/>
    </row>
    <row r="50" ht="36.0" customHeight="1">
      <c r="A50" s="54" t="s">
        <v>30</v>
      </c>
      <c r="B50" s="55" t="s">
        <v>125</v>
      </c>
      <c r="C50" s="56" t="s">
        <v>126</v>
      </c>
      <c r="D50" s="50"/>
      <c r="E50" s="51">
        <v>1.4</v>
      </c>
      <c r="F50" s="52">
        <f t="shared" ref="F50:F53" si="17">IFERROR(D50*E50,"")</f>
        <v>0</v>
      </c>
      <c r="G50" s="56"/>
      <c r="H50" s="56"/>
      <c r="I50" s="57"/>
      <c r="J50" s="56"/>
      <c r="K50" s="44"/>
      <c r="L50" s="44"/>
      <c r="M50" s="44"/>
      <c r="N50" s="44"/>
      <c r="O50" s="44"/>
      <c r="P50" s="44"/>
      <c r="Q50" s="44"/>
      <c r="R50" s="44"/>
      <c r="S50" s="44"/>
      <c r="T50" s="44"/>
      <c r="U50" s="44"/>
      <c r="V50" s="44"/>
      <c r="W50" s="44"/>
      <c r="X50" s="44"/>
      <c r="Y50" s="44"/>
      <c r="Z50" s="44"/>
    </row>
    <row r="51" ht="36.0" customHeight="1">
      <c r="A51" s="47" t="s">
        <v>30</v>
      </c>
      <c r="B51" s="48" t="s">
        <v>127</v>
      </c>
      <c r="C51" s="49" t="s">
        <v>128</v>
      </c>
      <c r="D51" s="50"/>
      <c r="E51" s="51">
        <v>1.1</v>
      </c>
      <c r="F51" s="52">
        <f t="shared" si="17"/>
        <v>0</v>
      </c>
      <c r="G51" s="49"/>
      <c r="H51" s="49"/>
      <c r="I51" s="53"/>
      <c r="J51" s="49"/>
      <c r="K51" s="44"/>
      <c r="L51" s="44"/>
      <c r="M51" s="44"/>
      <c r="N51" s="44"/>
      <c r="O51" s="44"/>
      <c r="P51" s="44"/>
      <c r="Q51" s="44"/>
      <c r="R51" s="44"/>
      <c r="S51" s="44"/>
      <c r="T51" s="44"/>
      <c r="U51" s="44"/>
      <c r="V51" s="44"/>
      <c r="W51" s="44"/>
      <c r="X51" s="44"/>
      <c r="Y51" s="44"/>
      <c r="Z51" s="44"/>
    </row>
    <row r="52" ht="36.0" customHeight="1">
      <c r="A52" s="54" t="s">
        <v>30</v>
      </c>
      <c r="B52" s="55" t="s">
        <v>129</v>
      </c>
      <c r="C52" s="56" t="s">
        <v>130</v>
      </c>
      <c r="D52" s="50"/>
      <c r="E52" s="51">
        <v>0.9</v>
      </c>
      <c r="F52" s="52">
        <f t="shared" si="17"/>
        <v>0</v>
      </c>
      <c r="G52" s="56"/>
      <c r="H52" s="56"/>
      <c r="I52" s="57"/>
      <c r="J52" s="56"/>
      <c r="K52" s="44"/>
      <c r="L52" s="44"/>
      <c r="M52" s="44"/>
      <c r="N52" s="44"/>
      <c r="O52" s="44"/>
      <c r="P52" s="44"/>
      <c r="Q52" s="44"/>
      <c r="R52" s="44"/>
      <c r="S52" s="44"/>
      <c r="T52" s="44"/>
      <c r="U52" s="44"/>
      <c r="V52" s="44"/>
      <c r="W52" s="44"/>
      <c r="X52" s="44"/>
      <c r="Y52" s="44"/>
      <c r="Z52" s="44"/>
    </row>
    <row r="53" ht="36.0" customHeight="1">
      <c r="A53" s="47" t="s">
        <v>30</v>
      </c>
      <c r="B53" s="48" t="s">
        <v>131</v>
      </c>
      <c r="C53" s="49" t="s">
        <v>132</v>
      </c>
      <c r="D53" s="50"/>
      <c r="E53" s="51">
        <v>1.2</v>
      </c>
      <c r="F53" s="52">
        <f t="shared" si="17"/>
        <v>0</v>
      </c>
      <c r="G53" s="49"/>
      <c r="H53" s="49"/>
      <c r="I53" s="53"/>
      <c r="J53" s="49"/>
      <c r="K53" s="44"/>
      <c r="L53" s="44"/>
      <c r="M53" s="44"/>
      <c r="N53" s="44"/>
      <c r="O53" s="44"/>
      <c r="P53" s="44"/>
      <c r="Q53" s="44"/>
      <c r="R53" s="44"/>
      <c r="S53" s="44"/>
      <c r="T53" s="44"/>
      <c r="U53" s="44"/>
      <c r="V53" s="44"/>
      <c r="W53" s="44"/>
      <c r="X53" s="44"/>
      <c r="Y53" s="44"/>
      <c r="Z53" s="44"/>
    </row>
    <row r="54" ht="21.75" customHeight="1">
      <c r="A54" s="58" t="s">
        <v>30</v>
      </c>
      <c r="B54" s="58" t="s">
        <v>133</v>
      </c>
      <c r="C54" s="58" t="s">
        <v>57</v>
      </c>
      <c r="D54" s="58"/>
      <c r="E54" s="59">
        <f t="shared" ref="E54:F54" si="18">SUM(E50:E53)</f>
        <v>4.6</v>
      </c>
      <c r="F54" s="59">
        <f t="shared" si="18"/>
        <v>0</v>
      </c>
      <c r="G54" s="60">
        <f>IFERROR(F54/(E54*5),"")</f>
        <v>0</v>
      </c>
      <c r="H54" s="61"/>
      <c r="I54" s="61"/>
      <c r="J54" s="61"/>
      <c r="K54" s="44"/>
      <c r="L54" s="44"/>
      <c r="M54" s="44"/>
      <c r="N54" s="44"/>
      <c r="O54" s="44"/>
      <c r="P54" s="44"/>
      <c r="Q54" s="44"/>
      <c r="R54" s="44"/>
      <c r="S54" s="44"/>
      <c r="T54" s="44"/>
      <c r="U54" s="44"/>
      <c r="V54" s="44"/>
      <c r="W54" s="44"/>
      <c r="X54" s="44"/>
      <c r="Y54" s="44"/>
      <c r="Z54" s="44"/>
    </row>
    <row r="55" ht="21.75" customHeight="1">
      <c r="A55" s="46" t="s">
        <v>134</v>
      </c>
      <c r="B55" s="39"/>
      <c r="C55" s="39"/>
      <c r="D55" s="39"/>
      <c r="E55" s="39"/>
      <c r="F55" s="39"/>
      <c r="G55" s="39"/>
      <c r="H55" s="39"/>
      <c r="I55" s="39"/>
      <c r="J55" s="40"/>
      <c r="K55" s="44"/>
      <c r="L55" s="44"/>
      <c r="M55" s="44"/>
      <c r="N55" s="44"/>
      <c r="O55" s="44"/>
      <c r="P55" s="44"/>
      <c r="Q55" s="44"/>
      <c r="R55" s="44"/>
      <c r="S55" s="44"/>
      <c r="T55" s="44"/>
      <c r="U55" s="44"/>
      <c r="V55" s="44"/>
      <c r="W55" s="44"/>
      <c r="X55" s="44"/>
      <c r="Y55" s="44"/>
      <c r="Z55" s="44"/>
    </row>
    <row r="56" ht="36.0" customHeight="1">
      <c r="A56" s="54" t="s">
        <v>31</v>
      </c>
      <c r="B56" s="55" t="s">
        <v>135</v>
      </c>
      <c r="C56" s="56" t="s">
        <v>136</v>
      </c>
      <c r="D56" s="50"/>
      <c r="E56" s="51">
        <v>1.0</v>
      </c>
      <c r="F56" s="52">
        <f t="shared" ref="F56:F58" si="19">IFERROR(D56*E56,"")</f>
        <v>0</v>
      </c>
      <c r="G56" s="56"/>
      <c r="H56" s="56"/>
      <c r="I56" s="57"/>
      <c r="J56" s="56"/>
      <c r="K56" s="44"/>
      <c r="L56" s="44"/>
      <c r="M56" s="44"/>
      <c r="N56" s="44"/>
      <c r="O56" s="44"/>
      <c r="P56" s="44"/>
      <c r="Q56" s="44"/>
      <c r="R56" s="44"/>
      <c r="S56" s="44"/>
      <c r="T56" s="44"/>
      <c r="U56" s="44"/>
      <c r="V56" s="44"/>
      <c r="W56" s="44"/>
      <c r="X56" s="44"/>
      <c r="Y56" s="44"/>
      <c r="Z56" s="44"/>
    </row>
    <row r="57" ht="36.0" customHeight="1">
      <c r="A57" s="47" t="s">
        <v>31</v>
      </c>
      <c r="B57" s="48" t="s">
        <v>137</v>
      </c>
      <c r="C57" s="49" t="s">
        <v>138</v>
      </c>
      <c r="D57" s="50"/>
      <c r="E57" s="51">
        <v>1.0</v>
      </c>
      <c r="F57" s="52">
        <f t="shared" si="19"/>
        <v>0</v>
      </c>
      <c r="G57" s="49"/>
      <c r="H57" s="49"/>
      <c r="I57" s="53"/>
      <c r="J57" s="49"/>
      <c r="K57" s="44"/>
      <c r="L57" s="44"/>
      <c r="M57" s="44"/>
      <c r="N57" s="44"/>
      <c r="O57" s="44"/>
      <c r="P57" s="44"/>
      <c r="Q57" s="44"/>
      <c r="R57" s="44"/>
      <c r="S57" s="44"/>
      <c r="T57" s="44"/>
      <c r="U57" s="44"/>
      <c r="V57" s="44"/>
      <c r="W57" s="44"/>
      <c r="X57" s="44"/>
      <c r="Y57" s="44"/>
      <c r="Z57" s="44"/>
    </row>
    <row r="58" ht="36.0" customHeight="1">
      <c r="A58" s="54" t="s">
        <v>31</v>
      </c>
      <c r="B58" s="55" t="s">
        <v>139</v>
      </c>
      <c r="C58" s="56" t="s">
        <v>140</v>
      </c>
      <c r="D58" s="50"/>
      <c r="E58" s="51">
        <v>0.8</v>
      </c>
      <c r="F58" s="52">
        <f t="shared" si="19"/>
        <v>0</v>
      </c>
      <c r="G58" s="56"/>
      <c r="H58" s="56"/>
      <c r="I58" s="57"/>
      <c r="J58" s="56"/>
      <c r="K58" s="44"/>
      <c r="L58" s="44"/>
      <c r="M58" s="44"/>
      <c r="N58" s="44"/>
      <c r="O58" s="44"/>
      <c r="P58" s="44"/>
      <c r="Q58" s="44"/>
      <c r="R58" s="44"/>
      <c r="S58" s="44"/>
      <c r="T58" s="44"/>
      <c r="U58" s="44"/>
      <c r="V58" s="44"/>
      <c r="W58" s="44"/>
      <c r="X58" s="44"/>
      <c r="Y58" s="44"/>
      <c r="Z58" s="44"/>
    </row>
    <row r="59" ht="21.75" customHeight="1">
      <c r="A59" s="58" t="s">
        <v>31</v>
      </c>
      <c r="B59" s="58" t="s">
        <v>141</v>
      </c>
      <c r="C59" s="58" t="s">
        <v>57</v>
      </c>
      <c r="D59" s="58"/>
      <c r="E59" s="59">
        <f t="shared" ref="E59:F59" si="20">SUM(E56:E58)</f>
        <v>2.8</v>
      </c>
      <c r="F59" s="59">
        <f t="shared" si="20"/>
        <v>0</v>
      </c>
      <c r="G59" s="60">
        <f>IFERROR(F59/(E59*5),"")</f>
        <v>0</v>
      </c>
      <c r="H59" s="61"/>
      <c r="I59" s="61"/>
      <c r="J59" s="61"/>
      <c r="K59" s="44"/>
      <c r="L59" s="44"/>
      <c r="M59" s="44"/>
      <c r="N59" s="44"/>
      <c r="O59" s="44"/>
      <c r="P59" s="44"/>
      <c r="Q59" s="44"/>
      <c r="R59" s="44"/>
      <c r="S59" s="44"/>
      <c r="T59" s="44"/>
      <c r="U59" s="44"/>
      <c r="V59" s="44"/>
      <c r="W59" s="44"/>
      <c r="X59" s="44"/>
      <c r="Y59" s="44"/>
      <c r="Z59" s="44"/>
    </row>
    <row r="60" ht="21.75" customHeight="1">
      <c r="A60" s="46" t="s">
        <v>142</v>
      </c>
      <c r="B60" s="39"/>
      <c r="C60" s="39"/>
      <c r="D60" s="39"/>
      <c r="E60" s="39"/>
      <c r="F60" s="39"/>
      <c r="G60" s="39"/>
      <c r="H60" s="39"/>
      <c r="I60" s="39"/>
      <c r="J60" s="40"/>
      <c r="K60" s="44"/>
      <c r="L60" s="44"/>
      <c r="M60" s="44"/>
      <c r="N60" s="44"/>
      <c r="O60" s="44"/>
      <c r="P60" s="44"/>
      <c r="Q60" s="44"/>
      <c r="R60" s="44"/>
      <c r="S60" s="44"/>
      <c r="T60" s="44"/>
      <c r="U60" s="44"/>
      <c r="V60" s="44"/>
      <c r="W60" s="44"/>
      <c r="X60" s="44"/>
      <c r="Y60" s="44"/>
      <c r="Z60" s="44"/>
    </row>
    <row r="61" ht="36.0" customHeight="1">
      <c r="A61" s="47" t="s">
        <v>32</v>
      </c>
      <c r="B61" s="48" t="s">
        <v>143</v>
      </c>
      <c r="C61" s="49" t="s">
        <v>144</v>
      </c>
      <c r="D61" s="50"/>
      <c r="E61" s="51">
        <v>1.3</v>
      </c>
      <c r="F61" s="52">
        <f t="shared" ref="F61:F63" si="21">IFERROR(D61*E61,"")</f>
        <v>0</v>
      </c>
      <c r="G61" s="49"/>
      <c r="H61" s="49"/>
      <c r="I61" s="53"/>
      <c r="J61" s="49"/>
      <c r="K61" s="44"/>
      <c r="L61" s="44"/>
      <c r="M61" s="44"/>
      <c r="N61" s="44"/>
      <c r="O61" s="44"/>
      <c r="P61" s="44"/>
      <c r="Q61" s="44"/>
      <c r="R61" s="44"/>
      <c r="S61" s="44"/>
      <c r="T61" s="44"/>
      <c r="U61" s="44"/>
      <c r="V61" s="44"/>
      <c r="W61" s="44"/>
      <c r="X61" s="44"/>
      <c r="Y61" s="44"/>
      <c r="Z61" s="44"/>
    </row>
    <row r="62" ht="36.0" customHeight="1">
      <c r="A62" s="54" t="s">
        <v>32</v>
      </c>
      <c r="B62" s="55" t="s">
        <v>145</v>
      </c>
      <c r="C62" s="56" t="s">
        <v>146</v>
      </c>
      <c r="D62" s="50"/>
      <c r="E62" s="51">
        <v>1.0</v>
      </c>
      <c r="F62" s="52">
        <f t="shared" si="21"/>
        <v>0</v>
      </c>
      <c r="G62" s="56"/>
      <c r="H62" s="56"/>
      <c r="I62" s="57"/>
      <c r="J62" s="56"/>
      <c r="K62" s="44"/>
      <c r="L62" s="44"/>
      <c r="M62" s="44"/>
      <c r="N62" s="44"/>
      <c r="O62" s="44"/>
      <c r="P62" s="44"/>
      <c r="Q62" s="44"/>
      <c r="R62" s="44"/>
      <c r="S62" s="44"/>
      <c r="T62" s="44"/>
      <c r="U62" s="44"/>
      <c r="V62" s="44"/>
      <c r="W62" s="44"/>
      <c r="X62" s="44"/>
      <c r="Y62" s="44"/>
      <c r="Z62" s="44"/>
    </row>
    <row r="63" ht="36.0" customHeight="1">
      <c r="A63" s="47" t="s">
        <v>32</v>
      </c>
      <c r="B63" s="48" t="s">
        <v>147</v>
      </c>
      <c r="C63" s="49" t="s">
        <v>148</v>
      </c>
      <c r="D63" s="50"/>
      <c r="E63" s="51">
        <v>1.4</v>
      </c>
      <c r="F63" s="52">
        <f t="shared" si="21"/>
        <v>0</v>
      </c>
      <c r="G63" s="49"/>
      <c r="H63" s="49"/>
      <c r="I63" s="53"/>
      <c r="J63" s="49"/>
      <c r="K63" s="44"/>
      <c r="L63" s="44"/>
      <c r="M63" s="44"/>
      <c r="N63" s="44"/>
      <c r="O63" s="44"/>
      <c r="P63" s="44"/>
      <c r="Q63" s="44"/>
      <c r="R63" s="44"/>
      <c r="S63" s="44"/>
      <c r="T63" s="44"/>
      <c r="U63" s="44"/>
      <c r="V63" s="44"/>
      <c r="W63" s="44"/>
      <c r="X63" s="44"/>
      <c r="Y63" s="44"/>
      <c r="Z63" s="44"/>
    </row>
    <row r="64" ht="21.75" customHeight="1">
      <c r="A64" s="58" t="s">
        <v>32</v>
      </c>
      <c r="B64" s="58" t="s">
        <v>149</v>
      </c>
      <c r="C64" s="58" t="s">
        <v>57</v>
      </c>
      <c r="D64" s="58"/>
      <c r="E64" s="59">
        <f t="shared" ref="E64:F64" si="22">SUM(E61:E63)</f>
        <v>3.7</v>
      </c>
      <c r="F64" s="59">
        <f t="shared" si="22"/>
        <v>0</v>
      </c>
      <c r="G64" s="60">
        <f>IFERROR(F64/(E64*5),"")</f>
        <v>0</v>
      </c>
      <c r="H64" s="61"/>
      <c r="I64" s="61"/>
      <c r="J64" s="61"/>
      <c r="K64" s="44"/>
      <c r="L64" s="44"/>
      <c r="M64" s="44"/>
      <c r="N64" s="44"/>
      <c r="O64" s="44"/>
      <c r="P64" s="44"/>
      <c r="Q64" s="44"/>
      <c r="R64" s="44"/>
      <c r="S64" s="44"/>
      <c r="T64" s="44"/>
      <c r="U64" s="44"/>
      <c r="V64" s="44"/>
      <c r="W64" s="44"/>
      <c r="X64" s="44"/>
      <c r="Y64" s="44"/>
      <c r="Z64" s="44"/>
    </row>
    <row r="65" ht="21.75" customHeight="1">
      <c r="A65" s="46" t="s">
        <v>150</v>
      </c>
      <c r="B65" s="39"/>
      <c r="C65" s="39"/>
      <c r="D65" s="39"/>
      <c r="E65" s="39"/>
      <c r="F65" s="39"/>
      <c r="G65" s="39"/>
      <c r="H65" s="39"/>
      <c r="I65" s="39"/>
      <c r="J65" s="40"/>
      <c r="K65" s="44"/>
      <c r="L65" s="44"/>
      <c r="M65" s="44"/>
      <c r="N65" s="44"/>
      <c r="O65" s="44"/>
      <c r="P65" s="44"/>
      <c r="Q65" s="44"/>
      <c r="R65" s="44"/>
      <c r="S65" s="44"/>
      <c r="T65" s="44"/>
      <c r="U65" s="44"/>
      <c r="V65" s="44"/>
      <c r="W65" s="44"/>
      <c r="X65" s="44"/>
      <c r="Y65" s="44"/>
      <c r="Z65" s="44"/>
    </row>
    <row r="66" ht="36.0" customHeight="1">
      <c r="A66" s="54" t="s">
        <v>33</v>
      </c>
      <c r="B66" s="55" t="s">
        <v>151</v>
      </c>
      <c r="C66" s="56" t="s">
        <v>152</v>
      </c>
      <c r="D66" s="50"/>
      <c r="E66" s="51">
        <v>0.8</v>
      </c>
      <c r="F66" s="52">
        <f t="shared" ref="F66:F68" si="23">IFERROR(D66*E66,"")</f>
        <v>0</v>
      </c>
      <c r="G66" s="56"/>
      <c r="H66" s="56"/>
      <c r="I66" s="57"/>
      <c r="J66" s="56"/>
      <c r="K66" s="44"/>
      <c r="L66" s="44"/>
      <c r="M66" s="44"/>
      <c r="N66" s="44"/>
      <c r="O66" s="44"/>
      <c r="P66" s="44"/>
      <c r="Q66" s="44"/>
      <c r="R66" s="44"/>
      <c r="S66" s="44"/>
      <c r="T66" s="44"/>
      <c r="U66" s="44"/>
      <c r="V66" s="44"/>
      <c r="W66" s="44"/>
      <c r="X66" s="44"/>
      <c r="Y66" s="44"/>
      <c r="Z66" s="44"/>
    </row>
    <row r="67" ht="49.5" customHeight="1">
      <c r="A67" s="47" t="s">
        <v>33</v>
      </c>
      <c r="B67" s="48" t="s">
        <v>153</v>
      </c>
      <c r="C67" s="49" t="s">
        <v>154</v>
      </c>
      <c r="D67" s="50"/>
      <c r="E67" s="51">
        <v>0.9</v>
      </c>
      <c r="F67" s="52">
        <f t="shared" si="23"/>
        <v>0</v>
      </c>
      <c r="G67" s="49"/>
      <c r="H67" s="49"/>
      <c r="I67" s="53"/>
      <c r="J67" s="49"/>
      <c r="K67" s="44"/>
      <c r="L67" s="44"/>
      <c r="M67" s="44"/>
      <c r="N67" s="44"/>
      <c r="O67" s="44"/>
      <c r="P67" s="44"/>
      <c r="Q67" s="44"/>
      <c r="R67" s="44"/>
      <c r="S67" s="44"/>
      <c r="T67" s="44"/>
      <c r="U67" s="44"/>
      <c r="V67" s="44"/>
      <c r="W67" s="44"/>
      <c r="X67" s="44"/>
      <c r="Y67" s="44"/>
      <c r="Z67" s="44"/>
    </row>
    <row r="68" ht="36.0" customHeight="1">
      <c r="A68" s="54" t="s">
        <v>33</v>
      </c>
      <c r="B68" s="55" t="s">
        <v>155</v>
      </c>
      <c r="C68" s="56" t="s">
        <v>156</v>
      </c>
      <c r="D68" s="50"/>
      <c r="E68" s="51">
        <v>1.0</v>
      </c>
      <c r="F68" s="52">
        <f t="shared" si="23"/>
        <v>0</v>
      </c>
      <c r="G68" s="56"/>
      <c r="H68" s="56"/>
      <c r="I68" s="57"/>
      <c r="J68" s="56"/>
      <c r="K68" s="44"/>
      <c r="L68" s="44"/>
      <c r="M68" s="44"/>
      <c r="N68" s="44"/>
      <c r="O68" s="44"/>
      <c r="P68" s="44"/>
      <c r="Q68" s="44"/>
      <c r="R68" s="44"/>
      <c r="S68" s="44"/>
      <c r="T68" s="44"/>
      <c r="U68" s="44"/>
      <c r="V68" s="44"/>
      <c r="W68" s="44"/>
      <c r="X68" s="44"/>
      <c r="Y68" s="44"/>
      <c r="Z68" s="44"/>
    </row>
    <row r="69" ht="21.75" customHeight="1">
      <c r="A69" s="58" t="s">
        <v>33</v>
      </c>
      <c r="B69" s="58" t="s">
        <v>157</v>
      </c>
      <c r="C69" s="58" t="s">
        <v>57</v>
      </c>
      <c r="D69" s="58"/>
      <c r="E69" s="59">
        <f t="shared" ref="E69:F69" si="24">SUM(E66:E68)</f>
        <v>2.7</v>
      </c>
      <c r="F69" s="59">
        <f t="shared" si="24"/>
        <v>0</v>
      </c>
      <c r="G69" s="60">
        <f>IFERROR(F69/(E69*5),"")</f>
        <v>0</v>
      </c>
      <c r="H69" s="61"/>
      <c r="I69" s="61"/>
      <c r="J69" s="61"/>
      <c r="K69" s="44"/>
      <c r="L69" s="44"/>
      <c r="M69" s="44"/>
      <c r="N69" s="44"/>
      <c r="O69" s="44"/>
      <c r="P69" s="44"/>
      <c r="Q69" s="44"/>
      <c r="R69" s="44"/>
      <c r="S69" s="44"/>
      <c r="T69" s="44"/>
      <c r="U69" s="44"/>
      <c r="V69" s="44"/>
      <c r="W69" s="44"/>
      <c r="X69" s="44"/>
      <c r="Y69" s="44"/>
      <c r="Z69" s="44"/>
    </row>
    <row r="70" ht="15.75" customHeight="1">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row>
    <row r="71" ht="15.75" customHeight="1">
      <c r="A71" s="62" t="s">
        <v>158</v>
      </c>
      <c r="B71" s="63"/>
      <c r="C71" s="63"/>
      <c r="D71" s="63"/>
      <c r="E71" s="64">
        <f t="shared" ref="E71:F71" si="25">SUM(E5:E69)</f>
        <v>95.4</v>
      </c>
      <c r="F71" s="65">
        <f t="shared" si="25"/>
        <v>0</v>
      </c>
      <c r="G71" s="66">
        <f>IFERROR(F71/(E71*5),"")</f>
        <v>0</v>
      </c>
      <c r="H71" s="63"/>
      <c r="I71" s="63"/>
      <c r="J71" s="63"/>
      <c r="K71" s="44"/>
      <c r="L71" s="44"/>
      <c r="M71" s="44"/>
      <c r="N71" s="44"/>
      <c r="O71" s="44"/>
      <c r="P71" s="44"/>
      <c r="Q71" s="44"/>
      <c r="R71" s="44"/>
      <c r="S71" s="44"/>
      <c r="T71" s="44"/>
      <c r="U71" s="44"/>
      <c r="V71" s="44"/>
      <c r="W71" s="44"/>
      <c r="X71" s="44"/>
      <c r="Y71" s="44"/>
      <c r="Z71" s="44"/>
    </row>
    <row r="72" ht="15.75" customHeight="1">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row>
    <row r="73" ht="15.75" customHeight="1">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row>
    <row r="74" ht="15.75" customHeight="1">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row>
    <row r="75" ht="15.75" customHeight="1">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row>
    <row r="76" ht="15.75" customHeight="1">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row>
    <row r="77" ht="15.75" customHeight="1">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row>
    <row r="78" ht="15.75" customHeight="1">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row>
    <row r="79" ht="15.75" customHeight="1">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row>
    <row r="80" ht="15.75" customHeight="1">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row>
    <row r="81" ht="15.75" customHeight="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row>
    <row r="82" ht="15.75" customHeight="1">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row>
    <row r="83" ht="15.75" customHeight="1">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row>
    <row r="84" ht="15.75" customHeight="1">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row>
    <row r="85" ht="15.75" customHeight="1">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row>
    <row r="86" ht="15.75" customHeight="1">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row>
    <row r="87" ht="15.75" customHeight="1">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row>
    <row r="88" ht="15.75" customHeight="1">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row>
    <row r="89" ht="15.75" customHeight="1">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row>
    <row r="90" ht="15.75" customHeight="1">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row>
    <row r="91" ht="15.75" customHeight="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row>
    <row r="92" ht="15.75" customHeight="1">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row>
    <row r="93" ht="15.75" customHeight="1">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row>
    <row r="94" ht="15.75" customHeight="1">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row>
    <row r="95" ht="15.75" customHeight="1">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row>
    <row r="96" ht="15.75" customHeight="1">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row>
    <row r="97" ht="15.75" customHeight="1">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row>
    <row r="98" ht="15.75" customHeight="1">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row>
    <row r="99" ht="15.75" customHeight="1">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row>
    <row r="100" ht="15.75" customHeight="1">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row>
    <row r="101" ht="15.75" customHeight="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row>
    <row r="102" ht="15.75" customHeight="1">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row>
    <row r="103" ht="15.75" customHeight="1">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row>
    <row r="104" ht="15.75" customHeight="1">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row>
    <row r="105" ht="15.75" customHeight="1">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row>
    <row r="106" ht="15.75" customHeight="1">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row>
    <row r="107" ht="15.75" customHeight="1">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row>
    <row r="108" ht="15.75" customHeight="1">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row>
    <row r="109" ht="15.75" customHeight="1">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row>
    <row r="110" ht="15.75" customHeight="1">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row>
    <row r="111" ht="15.75" customHeight="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row>
    <row r="112" ht="15.75" customHeight="1">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row>
    <row r="113" ht="15.75" customHeight="1">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row>
    <row r="114" ht="15.75" customHeight="1">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row>
    <row r="115" ht="15.75" customHeight="1">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row>
    <row r="116" ht="15.75" customHeight="1">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row>
    <row r="117" ht="15.75" customHeight="1">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row>
    <row r="118" ht="15.75" customHeight="1">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row>
    <row r="119" ht="15.75" customHeight="1">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row>
    <row r="120" ht="15.75" customHeight="1">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row>
    <row r="121" ht="15.75" customHeight="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row>
    <row r="122" ht="15.75" customHeight="1">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row>
    <row r="123" ht="15.75" customHeight="1">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row>
    <row r="124" ht="15.75" customHeight="1">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row>
    <row r="125" ht="15.75" customHeight="1">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row>
    <row r="126" ht="15.75" customHeight="1">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row>
    <row r="127" ht="15.75" customHeight="1">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row>
    <row r="128" ht="15.75" customHeight="1">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row>
    <row r="129" ht="15.75" customHeight="1">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row>
    <row r="130" ht="15.75" customHeight="1">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row>
    <row r="131" ht="15.75" customHeight="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row>
    <row r="132" ht="15.75" customHeight="1">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row>
    <row r="133" ht="15.75" customHeight="1">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row>
    <row r="134" ht="15.75" customHeight="1">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row>
    <row r="135" ht="15.75" customHeight="1">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row>
    <row r="136" ht="15.75" customHeight="1">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row>
    <row r="137" ht="15.75" customHeight="1">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row>
    <row r="138" ht="15.75" customHeight="1">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row>
    <row r="139" ht="15.75" customHeight="1">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row>
    <row r="140" ht="15.75" customHeight="1">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row>
    <row r="141" ht="15.75" customHeight="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row>
    <row r="142" ht="15.75" customHeight="1">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row>
    <row r="143" ht="15.75" customHeight="1">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row>
    <row r="144" ht="15.75" customHeight="1">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row>
    <row r="145" ht="15.75" customHeight="1">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row>
    <row r="146" ht="15.75" customHeight="1">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row>
    <row r="147" ht="15.75" customHeight="1">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row>
    <row r="148" ht="15.75" customHeight="1">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row>
    <row r="149" ht="15.75" customHeight="1">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row>
    <row r="150" ht="15.75" customHeight="1">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row>
    <row r="151" ht="15.75" customHeight="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row>
    <row r="152" ht="15.75" customHeight="1">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row>
    <row r="153" ht="15.75" customHeight="1">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row>
    <row r="154" ht="15.75" customHeight="1">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row>
    <row r="155" ht="15.75" customHeight="1">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row>
    <row r="156" ht="15.75" customHeight="1">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row>
    <row r="157" ht="15.75" customHeight="1">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row>
    <row r="158" ht="15.75" customHeight="1">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row>
    <row r="159" ht="15.75" customHeight="1">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row>
    <row r="160" ht="15.75" customHeight="1">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row>
    <row r="161" ht="15.75" customHeight="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row>
    <row r="162" ht="15.75" customHeight="1">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row>
    <row r="163" ht="15.75" customHeight="1">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row>
    <row r="164" ht="15.75" customHeight="1">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row>
    <row r="165" ht="15.75" customHeight="1">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row>
    <row r="166" ht="15.75" customHeight="1">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row>
    <row r="167" ht="15.75" customHeight="1">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row>
    <row r="168" ht="15.75" customHeight="1">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row>
    <row r="169" ht="15.75" customHeight="1">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row>
    <row r="170" ht="15.75" customHeight="1">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row>
    <row r="171" ht="15.75" customHeight="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row>
    <row r="172" ht="15.75" customHeight="1">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row>
    <row r="173" ht="15.75" customHeight="1">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row>
    <row r="174" ht="15.75" customHeight="1">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row>
    <row r="175" ht="15.75" customHeight="1">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row>
    <row r="176" ht="15.75" customHeight="1">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row>
    <row r="177" ht="15.75" customHeight="1">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row>
    <row r="178" ht="15.75" customHeight="1">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row>
    <row r="179" ht="15.75" customHeight="1">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row>
    <row r="180" ht="15.75" customHeight="1">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row>
    <row r="181" ht="15.75" customHeight="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row>
    <row r="182" ht="15.75" customHeight="1">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row>
    <row r="183" ht="15.75" customHeight="1">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row>
    <row r="184" ht="15.75" customHeight="1">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row>
    <row r="185" ht="15.75" customHeight="1">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row>
    <row r="186" ht="15.75" customHeight="1">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row>
    <row r="187" ht="15.75" customHeight="1">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row>
    <row r="188" ht="15.75" customHeight="1">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row>
    <row r="189" ht="15.75" customHeight="1">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row>
    <row r="190" ht="15.75" customHeight="1">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row>
    <row r="191" ht="15.75" customHeight="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row>
    <row r="192" ht="15.75" customHeight="1">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row>
    <row r="193" ht="15.75" customHeight="1">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row>
    <row r="194" ht="15.75" customHeight="1">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row>
    <row r="195" ht="15.75" customHeight="1">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row>
    <row r="196" ht="15.75" customHeight="1">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row>
    <row r="197" ht="15.75" customHeight="1">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row>
    <row r="198" ht="15.75" customHeight="1">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row>
    <row r="199" ht="15.75" customHeight="1">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row>
    <row r="200" ht="15.75" customHeight="1">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row>
    <row r="201" ht="15.75" customHeight="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row>
    <row r="202" ht="15.75" customHeight="1">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row>
    <row r="203" ht="15.75" customHeight="1">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row>
    <row r="204" ht="15.75" customHeight="1">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row>
    <row r="205" ht="15.75" customHeight="1">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row>
    <row r="206" ht="15.75" customHeight="1">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row>
    <row r="207" ht="15.75" customHeight="1">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row>
    <row r="208" ht="15.75" customHeight="1">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row>
    <row r="209" ht="15.75" customHeight="1">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row>
    <row r="210" ht="15.75" customHeight="1">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row>
    <row r="211" ht="15.75" customHeight="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row>
    <row r="212" ht="15.75" customHeight="1">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row>
    <row r="213" ht="15.75" customHeight="1">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row>
    <row r="214" ht="15.75" customHeight="1">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row>
    <row r="215" ht="15.75" customHeight="1">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row>
    <row r="216" ht="15.75" customHeight="1">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row>
    <row r="217" ht="15.75" customHeight="1">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row>
    <row r="218" ht="15.75" customHeight="1">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row>
    <row r="219" ht="15.75" customHeight="1">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row>
    <row r="220" ht="15.75" customHeight="1">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row>
    <row r="221" ht="15.75" customHeight="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row>
    <row r="222" ht="15.75" customHeight="1">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row>
    <row r="223" ht="15.75" customHeight="1">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row>
    <row r="224" ht="15.75" customHeight="1">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row>
    <row r="225" ht="15.75" customHeight="1">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row>
    <row r="226" ht="15.75" customHeight="1">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row>
    <row r="227" ht="15.75" customHeight="1">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row>
    <row r="228" ht="15.75" customHeight="1">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row>
    <row r="229" ht="15.75" customHeight="1">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row>
    <row r="230" ht="15.75" customHeight="1">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row>
    <row r="231" ht="15.75" customHeight="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row>
    <row r="232" ht="15.75" customHeight="1">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row>
    <row r="233" ht="15.75" customHeight="1">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row>
    <row r="234" ht="15.75" customHeight="1">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row>
    <row r="235" ht="15.75" customHeight="1">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row>
    <row r="236" ht="15.75" customHeight="1">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row>
    <row r="237" ht="15.75" customHeight="1">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row>
    <row r="238" ht="15.75" customHeight="1">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row>
    <row r="239" ht="15.75" customHeight="1">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row>
    <row r="240" ht="15.75" customHeight="1">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row>
    <row r="241" ht="15.75" customHeight="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row>
    <row r="242" ht="15.75" customHeight="1">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row>
    <row r="243" ht="15.75" customHeight="1">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row>
    <row r="244" ht="15.75" customHeight="1">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row>
    <row r="245" ht="15.75" customHeight="1">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row>
    <row r="246" ht="15.75" customHeight="1">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row>
    <row r="247" ht="15.75" customHeight="1">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row>
    <row r="248" ht="15.75" customHeight="1">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row>
    <row r="249" ht="15.75" customHeight="1">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row>
    <row r="250" ht="15.75" customHeight="1">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row>
    <row r="251" ht="15.75" customHeight="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row>
    <row r="252" ht="15.75" customHeight="1">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row>
    <row r="253" ht="15.75" customHeight="1">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row>
    <row r="254" ht="15.75" customHeight="1">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row>
    <row r="255" ht="15.75" customHeight="1">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row>
    <row r="256" ht="15.75" customHeight="1">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row>
    <row r="257" ht="15.75" customHeight="1">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row>
    <row r="258" ht="15.75" customHeight="1">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row>
    <row r="259" ht="15.75" customHeight="1">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row>
    <row r="260" ht="15.75" customHeight="1">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row>
    <row r="261" ht="15.75" customHeight="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row>
    <row r="262" ht="15.75" customHeight="1">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row>
    <row r="263" ht="15.75" customHeight="1">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row>
    <row r="264" ht="15.75" customHeight="1">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row>
    <row r="265" ht="15.75" customHeight="1">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row>
    <row r="266" ht="15.75" customHeight="1">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row>
    <row r="267" ht="15.75" customHeight="1">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row>
    <row r="268" ht="15.75" customHeight="1">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row>
    <row r="269" ht="15.75" customHeight="1">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row>
    <row r="270" ht="15.75" customHeight="1">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row>
    <row r="271" ht="15.75" customHeight="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row>
    <row r="272" ht="15.75" customHeight="1">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row>
    <row r="273" ht="15.75" customHeight="1">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row>
    <row r="274" ht="15.75" customHeight="1">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row>
    <row r="275" ht="15.75" customHeight="1">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row>
    <row r="276" ht="15.75" customHeight="1">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row>
    <row r="277" ht="15.75" customHeight="1">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row>
    <row r="278" ht="15.75" customHeight="1">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row>
    <row r="279" ht="15.75" customHeight="1">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row>
    <row r="280" ht="15.75" customHeight="1">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row>
    <row r="281" ht="15.75" customHeight="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row>
    <row r="282" ht="15.75" customHeight="1">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row>
    <row r="283" ht="15.75" customHeight="1">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row>
    <row r="284" ht="15.75" customHeight="1">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row>
    <row r="285" ht="15.75" customHeight="1">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row>
    <row r="286" ht="15.75" customHeight="1">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row>
    <row r="287" ht="15.75" customHeight="1">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row>
    <row r="288" ht="15.75" customHeight="1">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row>
    <row r="289" ht="15.75" customHeight="1">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row>
    <row r="290" ht="15.75" customHeight="1">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row>
    <row r="291" ht="15.75" customHeight="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row>
    <row r="292" ht="15.75" customHeight="1">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row>
    <row r="293" ht="15.75" customHeight="1">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row>
    <row r="294" ht="15.75" customHeight="1">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row>
    <row r="295" ht="15.75" customHeight="1">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row>
    <row r="296" ht="15.75" customHeight="1">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row>
    <row r="297" ht="15.75" customHeight="1">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row>
    <row r="298" ht="15.75" customHeight="1">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row>
    <row r="299" ht="15.75" customHeight="1">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row>
    <row r="300" ht="15.75" customHeight="1">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row>
    <row r="301" ht="15.75" customHeight="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row>
    <row r="302" ht="15.75" customHeight="1">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row>
    <row r="303" ht="15.75" customHeight="1">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row>
    <row r="304" ht="15.75" customHeight="1">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row>
    <row r="305" ht="15.75" customHeight="1">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row>
    <row r="306" ht="15.75" customHeight="1">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row>
    <row r="307" ht="15.75" customHeight="1">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row>
    <row r="308" ht="15.75" customHeight="1">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row>
    <row r="309" ht="15.75" customHeight="1">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row>
    <row r="310" ht="15.75" customHeight="1">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row>
    <row r="311" ht="15.75" customHeight="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row>
    <row r="312" ht="15.75" customHeight="1">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row>
    <row r="313" ht="15.75" customHeight="1">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row>
    <row r="314" ht="15.75" customHeight="1">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row>
    <row r="315" ht="15.75" customHeight="1">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row>
    <row r="316" ht="15.75" customHeight="1">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row>
    <row r="317" ht="15.75" customHeight="1">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row>
    <row r="318" ht="15.75" customHeight="1">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row>
    <row r="319" ht="15.75" customHeight="1">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row>
    <row r="320" ht="15.75" customHeight="1">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row>
    <row r="321" ht="15.75" customHeight="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row>
    <row r="322" ht="15.75" customHeight="1">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row>
    <row r="323" ht="15.75" customHeight="1">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row>
    <row r="324" ht="15.75" customHeight="1">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row>
    <row r="325" ht="15.75" customHeight="1">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row>
    <row r="326" ht="15.75" customHeight="1">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row>
    <row r="327" ht="15.75" customHeight="1">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row>
    <row r="328" ht="15.75" customHeight="1">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row>
    <row r="329" ht="15.75" customHeight="1">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row>
    <row r="330" ht="15.75" customHeight="1">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row>
    <row r="331" ht="15.75" customHeight="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row>
    <row r="332" ht="15.75" customHeight="1">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row>
    <row r="333" ht="15.75" customHeight="1">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row>
    <row r="334" ht="15.75" customHeight="1">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row>
    <row r="335" ht="15.75" customHeight="1">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row>
    <row r="336" ht="15.75" customHeight="1">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row>
    <row r="337" ht="15.75" customHeight="1">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row>
    <row r="338" ht="15.75" customHeight="1">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row>
    <row r="339" ht="15.75" customHeight="1">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row>
    <row r="340" ht="15.75" customHeight="1">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row>
    <row r="341" ht="15.75" customHeight="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row>
    <row r="342" ht="15.75" customHeight="1">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row>
    <row r="343" ht="15.75" customHeight="1">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row>
    <row r="344" ht="15.75" customHeight="1">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row>
    <row r="345" ht="15.75" customHeight="1">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row>
    <row r="346" ht="15.75" customHeight="1">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row>
    <row r="347" ht="15.75" customHeight="1">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row>
    <row r="348" ht="15.75" customHeight="1">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row>
    <row r="349" ht="15.75" customHeight="1">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row>
    <row r="350" ht="15.75" customHeight="1">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row>
    <row r="351" ht="15.75" customHeight="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row>
    <row r="352" ht="15.75" customHeight="1">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row>
    <row r="353" ht="15.75" customHeight="1">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row>
    <row r="354" ht="15.75" customHeight="1">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row>
    <row r="355" ht="15.75" customHeight="1">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row>
    <row r="356" ht="15.75" customHeight="1">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row>
    <row r="357" ht="15.75" customHeight="1">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row>
    <row r="358" ht="15.75" customHeight="1">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row>
    <row r="359" ht="15.75" customHeight="1">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row>
    <row r="360" ht="15.75" customHeight="1">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row>
    <row r="361" ht="15.75" customHeight="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row>
    <row r="362" ht="15.75" customHeight="1">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row>
    <row r="363" ht="15.75" customHeight="1">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row>
    <row r="364" ht="15.75" customHeight="1">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row>
    <row r="365" ht="15.75" customHeight="1">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row>
    <row r="366" ht="15.75" customHeight="1">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row>
    <row r="367" ht="15.75" customHeight="1">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row>
    <row r="368" ht="15.75" customHeight="1">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row>
    <row r="369" ht="15.75" customHeight="1">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row>
    <row r="370" ht="15.75" customHeight="1">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row>
    <row r="371" ht="15.75" customHeight="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row>
    <row r="372" ht="15.75" customHeight="1">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row>
    <row r="373" ht="15.75" customHeight="1">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row>
    <row r="374" ht="15.75" customHeight="1">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row>
    <row r="375" ht="15.75" customHeight="1">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row>
    <row r="376" ht="15.75" customHeight="1">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row>
    <row r="377" ht="15.75" customHeight="1">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row>
    <row r="378" ht="15.75" customHeight="1">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row>
    <row r="379" ht="15.75" customHeight="1">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row>
    <row r="380" ht="15.75" customHeight="1">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row>
    <row r="381" ht="15.75" customHeight="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row>
    <row r="382" ht="15.75" customHeight="1">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row>
    <row r="383" ht="15.75" customHeight="1">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row>
    <row r="384" ht="15.75" customHeight="1">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row>
    <row r="385" ht="15.75" customHeight="1">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row>
    <row r="386" ht="15.75" customHeight="1">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row>
    <row r="387" ht="15.75" customHeight="1">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row>
    <row r="388" ht="15.75" customHeight="1">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row>
    <row r="389" ht="15.75" customHeight="1">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row>
    <row r="390" ht="15.75" customHeight="1">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row>
    <row r="391" ht="15.75" customHeight="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row>
    <row r="392" ht="15.75" customHeight="1">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row>
    <row r="393" ht="15.75" customHeight="1">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row>
    <row r="394" ht="15.75" customHeight="1">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row>
    <row r="395" ht="15.75" customHeight="1">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row>
    <row r="396" ht="15.75" customHeight="1">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row>
    <row r="397" ht="15.75" customHeight="1">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row>
    <row r="398" ht="15.75" customHeight="1">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row>
    <row r="399" ht="15.75" customHeight="1">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row>
    <row r="400" ht="15.75" customHeight="1">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row>
    <row r="401" ht="15.75" customHeight="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row>
    <row r="402" ht="15.75" customHeight="1">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row>
    <row r="403" ht="15.75" customHeight="1">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row>
    <row r="404" ht="15.75" customHeight="1">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row>
    <row r="405" ht="15.75" customHeight="1">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row>
    <row r="406" ht="15.75" customHeight="1">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row>
    <row r="407" ht="15.75" customHeight="1">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row>
    <row r="408" ht="15.75" customHeight="1">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row>
    <row r="409" ht="15.75" customHeight="1">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row>
    <row r="410" ht="15.75" customHeight="1">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row>
    <row r="411" ht="15.75" customHeight="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row>
    <row r="412" ht="15.75" customHeight="1">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row>
    <row r="413" ht="15.75" customHeight="1">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row>
    <row r="414" ht="15.75" customHeight="1">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row>
    <row r="415" ht="15.75" customHeight="1">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row>
    <row r="416" ht="15.75" customHeight="1">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row>
    <row r="417" ht="15.75" customHeight="1">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row>
    <row r="418" ht="15.75" customHeight="1">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row>
    <row r="419" ht="15.75" customHeight="1">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row>
    <row r="420" ht="15.75" customHeight="1">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row>
    <row r="421" ht="15.75" customHeight="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row>
    <row r="422" ht="15.75" customHeight="1">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row>
    <row r="423" ht="15.75" customHeight="1">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row>
    <row r="424" ht="15.75" customHeight="1">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row>
    <row r="425" ht="15.75" customHeight="1">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row>
    <row r="426" ht="15.75" customHeight="1">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row>
    <row r="427" ht="15.75" customHeight="1">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row>
    <row r="428" ht="15.75" customHeight="1">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row>
    <row r="429" ht="15.75" customHeight="1">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row>
    <row r="430" ht="15.75" customHeight="1">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row>
    <row r="431" ht="15.75" customHeight="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row>
    <row r="432" ht="15.75" customHeight="1">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row>
    <row r="433" ht="15.75" customHeight="1">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row>
    <row r="434" ht="15.75" customHeight="1">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row>
    <row r="435" ht="15.75" customHeight="1">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row>
    <row r="436" ht="15.75" customHeight="1">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row>
    <row r="437" ht="15.75" customHeight="1">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row>
    <row r="438" ht="15.75" customHeight="1">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row>
    <row r="439" ht="15.75" customHeight="1">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row>
    <row r="440" ht="15.75" customHeight="1">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row>
    <row r="441" ht="15.75" customHeight="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row>
    <row r="442" ht="15.75" customHeight="1">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row>
    <row r="443" ht="15.75" customHeight="1">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row>
    <row r="444" ht="15.75" customHeight="1">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row>
    <row r="445" ht="15.75" customHeight="1">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row>
    <row r="446" ht="15.75" customHeight="1">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row>
    <row r="447" ht="15.75" customHeight="1">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row>
    <row r="448" ht="15.75" customHeight="1">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row>
    <row r="449" ht="15.75" customHeight="1">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row>
    <row r="450" ht="15.75" customHeight="1">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row>
    <row r="451" ht="15.75" customHeight="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row>
    <row r="452" ht="15.75" customHeight="1">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row>
    <row r="453" ht="15.75" customHeight="1">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row>
    <row r="454" ht="15.75" customHeight="1">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row>
    <row r="455" ht="15.75" customHeight="1">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row>
    <row r="456" ht="15.75" customHeight="1">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row>
    <row r="457" ht="15.75" customHeight="1">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row>
    <row r="458" ht="15.75" customHeight="1">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row>
    <row r="459" ht="15.75" customHeight="1">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row>
    <row r="460" ht="15.75" customHeight="1">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row>
    <row r="461" ht="15.75" customHeight="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row>
    <row r="462" ht="15.75" customHeight="1">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row>
    <row r="463" ht="15.75" customHeight="1">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row>
    <row r="464" ht="15.75" customHeight="1">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row>
    <row r="465" ht="15.75" customHeight="1">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row>
    <row r="466" ht="15.75" customHeight="1">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row>
    <row r="467" ht="15.75" customHeight="1">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row>
    <row r="468" ht="15.75" customHeight="1">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row>
    <row r="469" ht="15.75" customHeight="1">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row>
    <row r="470" ht="15.75" customHeight="1">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row>
    <row r="471" ht="15.75" customHeight="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row>
    <row r="472" ht="15.75" customHeight="1">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row>
    <row r="473" ht="15.75" customHeight="1">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row>
    <row r="474" ht="15.75" customHeight="1">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row>
    <row r="475" ht="15.75" customHeight="1">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row>
    <row r="476" ht="15.75" customHeight="1">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row>
    <row r="477" ht="15.75" customHeight="1">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row>
    <row r="478" ht="15.75" customHeight="1">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row>
    <row r="479" ht="15.75" customHeight="1">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row>
    <row r="480" ht="15.75" customHeight="1">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row>
    <row r="481" ht="15.75" customHeight="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row>
    <row r="482" ht="15.75" customHeight="1">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row>
    <row r="483" ht="15.75" customHeight="1">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row>
    <row r="484" ht="15.75" customHeight="1">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row>
    <row r="485" ht="15.75" customHeight="1">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row>
    <row r="486" ht="15.75" customHeight="1">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row>
    <row r="487" ht="15.75" customHeight="1">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row>
    <row r="488" ht="15.75" customHeight="1">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row>
    <row r="489" ht="15.75" customHeight="1">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row>
    <row r="490" ht="15.75" customHeight="1">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row>
    <row r="491" ht="15.75" customHeight="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row>
    <row r="492" ht="15.75" customHeight="1">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row>
    <row r="493" ht="15.75" customHeight="1">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row>
    <row r="494" ht="15.75" customHeight="1">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row>
    <row r="495" ht="15.75" customHeight="1">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row>
    <row r="496" ht="15.75" customHeight="1">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row>
    <row r="497" ht="15.75" customHeight="1">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row>
    <row r="498" ht="15.75" customHeight="1">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row>
    <row r="499" ht="15.75" customHeight="1">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row>
    <row r="500" ht="15.75" customHeight="1">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row>
    <row r="501" ht="15.75" customHeight="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row>
    <row r="502" ht="15.75" customHeight="1">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row>
    <row r="503" ht="15.75" customHeight="1">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row>
    <row r="504" ht="15.75" customHeight="1">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row>
    <row r="505" ht="15.75" customHeight="1">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row>
    <row r="506" ht="15.75" customHeight="1">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row>
    <row r="507" ht="15.75" customHeight="1">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row>
    <row r="508" ht="15.75" customHeight="1">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row>
    <row r="509" ht="15.75" customHeight="1">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row>
    <row r="510" ht="15.75" customHeight="1">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row>
    <row r="511" ht="15.75" customHeight="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row>
    <row r="512" ht="15.75" customHeight="1">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row>
    <row r="513" ht="15.75" customHeight="1">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row>
    <row r="514" ht="15.75" customHeight="1">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row>
    <row r="515" ht="15.75" customHeight="1">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row>
    <row r="516" ht="15.75" customHeight="1">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row>
    <row r="517" ht="15.75" customHeight="1">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row>
    <row r="518" ht="15.75" customHeight="1">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row>
    <row r="519" ht="15.75" customHeight="1">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row>
    <row r="520" ht="15.75" customHeight="1">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row>
    <row r="521" ht="15.75" customHeight="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row>
    <row r="522" ht="15.75" customHeight="1">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row>
    <row r="523" ht="15.75" customHeight="1">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row>
    <row r="524" ht="15.75" customHeight="1">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row>
    <row r="525" ht="15.75" customHeight="1">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row>
    <row r="526" ht="15.75" customHeight="1">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row>
    <row r="527" ht="15.75" customHeight="1">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row>
    <row r="528" ht="15.75" customHeight="1">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row>
    <row r="529" ht="15.75" customHeight="1">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row>
    <row r="530" ht="15.75" customHeight="1">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row>
    <row r="531" ht="15.75" customHeight="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row>
    <row r="532" ht="15.75" customHeight="1">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row>
    <row r="533" ht="15.75" customHeight="1">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row>
    <row r="534" ht="15.75" customHeight="1">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row>
    <row r="535" ht="15.75" customHeight="1">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row>
    <row r="536" ht="15.75" customHeight="1">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row>
    <row r="537" ht="15.75" customHeight="1">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row>
    <row r="538" ht="15.75" customHeight="1">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row>
    <row r="539" ht="15.75" customHeight="1">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row>
    <row r="540" ht="15.75" customHeight="1">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row>
    <row r="541" ht="15.75" customHeight="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row>
    <row r="542" ht="15.75" customHeight="1">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row>
    <row r="543" ht="15.75" customHeight="1">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row>
    <row r="544" ht="15.75" customHeight="1">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row>
    <row r="545" ht="15.75" customHeight="1">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row>
    <row r="546" ht="15.75" customHeight="1">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row>
    <row r="547" ht="15.75" customHeight="1">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row>
    <row r="548" ht="15.75" customHeight="1">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row>
    <row r="549" ht="15.75" customHeight="1">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row>
    <row r="550" ht="15.75" customHeight="1">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row>
    <row r="551" ht="15.75" customHeight="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row>
    <row r="552" ht="15.75" customHeight="1">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row>
    <row r="553" ht="15.75" customHeight="1">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row>
    <row r="554" ht="15.75" customHeight="1">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row>
    <row r="555" ht="15.75" customHeight="1">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row>
    <row r="556" ht="15.75" customHeight="1">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row>
    <row r="557" ht="15.75" customHeight="1">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row>
    <row r="558" ht="15.75" customHeight="1">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row>
    <row r="559" ht="15.75" customHeight="1">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row>
    <row r="560" ht="15.75" customHeight="1">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row>
    <row r="561" ht="15.75" customHeight="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row>
    <row r="562" ht="15.75" customHeight="1">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row>
    <row r="563" ht="15.75" customHeight="1">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row>
    <row r="564" ht="15.75" customHeight="1">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row>
    <row r="565" ht="15.75" customHeight="1">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row>
    <row r="566" ht="15.75" customHeight="1">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row>
    <row r="567" ht="15.75" customHeight="1">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row>
    <row r="568" ht="15.75" customHeight="1">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row>
    <row r="569" ht="15.75" customHeight="1">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row>
    <row r="570" ht="15.75" customHeight="1">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row>
    <row r="571" ht="15.75" customHeight="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row>
    <row r="572" ht="15.75" customHeight="1">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row>
    <row r="573" ht="15.75" customHeight="1">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row>
    <row r="574" ht="15.75" customHeight="1">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row>
    <row r="575" ht="15.75" customHeight="1">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row>
    <row r="576" ht="15.75" customHeight="1">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row>
    <row r="577" ht="15.75" customHeight="1">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row>
    <row r="578" ht="15.75" customHeight="1">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row>
    <row r="579" ht="15.75" customHeight="1">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row>
    <row r="580" ht="15.75" customHeight="1">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row>
    <row r="581" ht="15.75" customHeight="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row>
    <row r="582" ht="15.75" customHeight="1">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row>
    <row r="583" ht="15.75" customHeight="1">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row>
    <row r="584" ht="15.75" customHeight="1">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row>
    <row r="585" ht="15.75" customHeight="1">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row>
    <row r="586" ht="15.75" customHeight="1">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row>
    <row r="587" ht="15.75" customHeight="1">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row>
    <row r="588" ht="15.75" customHeight="1">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row>
    <row r="589" ht="15.75" customHeight="1">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row>
    <row r="590" ht="15.75" customHeight="1">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row>
    <row r="591" ht="15.75" customHeight="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row>
    <row r="592" ht="15.75" customHeight="1">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row>
    <row r="593" ht="15.75" customHeight="1">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row>
    <row r="594" ht="15.75" customHeight="1">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row>
    <row r="595" ht="15.75" customHeight="1">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row>
    <row r="596" ht="15.75" customHeight="1">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row>
    <row r="597" ht="15.75" customHeight="1">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row>
    <row r="598" ht="15.75" customHeight="1">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row>
    <row r="599" ht="15.75" customHeight="1">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row>
    <row r="600" ht="15.75" customHeight="1">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row>
    <row r="601" ht="15.75" customHeight="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row>
    <row r="602" ht="15.75" customHeight="1">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row>
    <row r="603" ht="15.75" customHeight="1">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row>
    <row r="604" ht="15.75" customHeight="1">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row>
    <row r="605" ht="15.75" customHeight="1">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row>
    <row r="606" ht="15.75" customHeight="1">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row>
    <row r="607" ht="15.75" customHeight="1">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row>
    <row r="608" ht="15.75" customHeight="1">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row>
    <row r="609" ht="15.75" customHeight="1">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row>
    <row r="610" ht="15.75" customHeight="1">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row>
    <row r="611" ht="15.75" customHeight="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row>
    <row r="612" ht="15.75" customHeight="1">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row>
    <row r="613" ht="15.75" customHeight="1">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row>
    <row r="614" ht="15.75" customHeight="1">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row>
    <row r="615" ht="15.75" customHeight="1">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row>
    <row r="616" ht="15.75" customHeight="1">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row>
    <row r="617" ht="15.75" customHeight="1">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row>
    <row r="618" ht="15.75" customHeight="1">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row>
    <row r="619" ht="15.75" customHeight="1">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row>
    <row r="620" ht="15.75" customHeight="1">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row>
    <row r="621" ht="15.75" customHeight="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row>
    <row r="622" ht="15.75" customHeight="1">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row>
    <row r="623" ht="15.75" customHeight="1">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row>
    <row r="624" ht="15.75" customHeight="1">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row>
    <row r="625" ht="15.75" customHeight="1">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row>
    <row r="626" ht="15.75" customHeight="1">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row>
    <row r="627" ht="15.75" customHeight="1">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row>
    <row r="628" ht="15.75" customHeight="1">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row>
    <row r="629" ht="15.75" customHeight="1">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row>
    <row r="630" ht="15.75" customHeight="1">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row>
    <row r="631" ht="15.75" customHeight="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row>
    <row r="632" ht="15.75" customHeight="1">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row>
    <row r="633" ht="15.75" customHeight="1">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row>
    <row r="634" ht="15.75" customHeight="1">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row>
    <row r="635" ht="15.75" customHeight="1">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row>
    <row r="636" ht="15.75" customHeight="1">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row>
    <row r="637" ht="15.75" customHeight="1">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row>
    <row r="638" ht="15.75" customHeight="1">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row>
    <row r="639" ht="15.75" customHeight="1">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row>
    <row r="640" ht="15.75" customHeight="1">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row>
    <row r="641" ht="15.75" customHeight="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row>
    <row r="642" ht="15.75" customHeight="1">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row>
    <row r="643" ht="15.75" customHeight="1">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row>
    <row r="644" ht="15.75" customHeight="1">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row>
    <row r="645" ht="15.75" customHeight="1">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row>
    <row r="646" ht="15.75" customHeight="1">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row>
    <row r="647" ht="15.75" customHeight="1">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row>
    <row r="648" ht="15.75" customHeight="1">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row>
    <row r="649" ht="15.75" customHeight="1">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row>
    <row r="650" ht="15.75" customHeight="1">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row>
    <row r="651" ht="15.75" customHeight="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row>
    <row r="652" ht="15.75" customHeight="1">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row>
    <row r="653" ht="15.75" customHeight="1">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row>
    <row r="654" ht="15.75" customHeight="1">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row>
    <row r="655" ht="15.75" customHeight="1">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row>
    <row r="656" ht="15.75" customHeight="1">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row>
    <row r="657" ht="15.75" customHeight="1">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row>
    <row r="658" ht="15.75" customHeight="1">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row>
    <row r="659" ht="15.75" customHeight="1">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row>
    <row r="660" ht="15.75" customHeight="1">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row>
    <row r="661" ht="15.75" customHeight="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row>
    <row r="662" ht="15.75" customHeight="1">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row>
    <row r="663" ht="15.75" customHeight="1">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row>
    <row r="664" ht="15.75" customHeight="1">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row>
    <row r="665" ht="15.75" customHeight="1">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row>
    <row r="666" ht="15.75" customHeight="1">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row>
    <row r="667" ht="15.75" customHeight="1">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row>
    <row r="668" ht="15.75" customHeight="1">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row>
    <row r="669" ht="15.75" customHeight="1">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row>
    <row r="670" ht="15.75" customHeight="1">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row>
    <row r="671" ht="15.75" customHeight="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row>
    <row r="672" ht="15.75" customHeight="1">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row>
    <row r="673" ht="15.75" customHeight="1">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row>
    <row r="674" ht="15.75" customHeight="1">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row>
    <row r="675" ht="15.75" customHeight="1">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row>
    <row r="676" ht="15.75" customHeight="1">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row>
    <row r="677" ht="15.75" customHeight="1">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row>
    <row r="678" ht="15.75" customHeight="1">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row>
    <row r="679" ht="15.75" customHeight="1">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row>
    <row r="680" ht="15.75" customHeight="1">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row>
    <row r="681" ht="15.75" customHeight="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row>
    <row r="682" ht="15.75" customHeight="1">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row>
    <row r="683" ht="15.75" customHeight="1">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row>
    <row r="684" ht="15.75" customHeight="1">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row>
    <row r="685" ht="15.75" customHeight="1">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row>
    <row r="686" ht="15.75" customHeight="1">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row>
    <row r="687" ht="15.75" customHeight="1">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row>
    <row r="688" ht="15.75" customHeight="1">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row>
    <row r="689" ht="15.75" customHeight="1">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row>
    <row r="690" ht="15.75" customHeight="1">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row>
    <row r="691" ht="15.75" customHeight="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row>
    <row r="692" ht="15.75" customHeight="1">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row>
    <row r="693" ht="15.75" customHeight="1">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row>
    <row r="694" ht="15.75" customHeight="1">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row>
    <row r="695" ht="15.75" customHeight="1">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row>
    <row r="696" ht="15.75" customHeight="1">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row>
    <row r="697" ht="15.75" customHeight="1">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row>
    <row r="698" ht="15.75" customHeight="1">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row>
    <row r="699" ht="15.75" customHeight="1">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row>
    <row r="700" ht="15.75" customHeight="1">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row>
    <row r="701" ht="15.75" customHeight="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row>
    <row r="702" ht="15.75" customHeight="1">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row>
    <row r="703" ht="15.75" customHeight="1">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row>
    <row r="704" ht="15.75" customHeight="1">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row>
    <row r="705" ht="15.75" customHeight="1">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row>
    <row r="706" ht="15.75" customHeight="1">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row>
    <row r="707" ht="15.75" customHeight="1">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row>
    <row r="708" ht="15.75" customHeight="1">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row>
    <row r="709" ht="15.75" customHeight="1">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row>
    <row r="710" ht="15.75" customHeight="1">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row>
    <row r="711" ht="15.75" customHeight="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row>
    <row r="712" ht="15.75" customHeight="1">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row>
    <row r="713" ht="15.75" customHeight="1">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row>
    <row r="714" ht="15.75" customHeight="1">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row>
    <row r="715" ht="15.75" customHeight="1">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row>
    <row r="716" ht="15.75" customHeight="1">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row>
    <row r="717" ht="15.75" customHeight="1">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row>
    <row r="718" ht="15.75" customHeight="1">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row>
    <row r="719" ht="15.75" customHeight="1">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row>
    <row r="720" ht="15.75" customHeight="1">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row>
    <row r="721" ht="15.75" customHeight="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row>
    <row r="722" ht="15.75" customHeight="1">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row>
    <row r="723" ht="15.75" customHeight="1">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row>
    <row r="724" ht="15.75" customHeight="1">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row>
    <row r="725" ht="15.75" customHeight="1">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row>
    <row r="726" ht="15.75" customHeight="1">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row>
    <row r="727" ht="15.75" customHeight="1">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row>
    <row r="728" ht="15.75" customHeight="1">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row>
    <row r="729" ht="15.75" customHeight="1">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row>
    <row r="730" ht="15.75" customHeight="1">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row>
    <row r="731" ht="15.75" customHeight="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row>
    <row r="732" ht="15.75" customHeight="1">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row>
    <row r="733" ht="15.75" customHeight="1">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row>
    <row r="734" ht="15.75" customHeight="1">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row>
    <row r="735" ht="15.75" customHeight="1">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row>
    <row r="736" ht="15.75" customHeight="1">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row>
    <row r="737" ht="15.75" customHeight="1">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row>
    <row r="738" ht="15.75" customHeight="1">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row>
    <row r="739" ht="15.75" customHeight="1">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row>
    <row r="740" ht="15.75" customHeight="1">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row>
    <row r="741" ht="15.75" customHeight="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row>
    <row r="742" ht="15.75" customHeight="1">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row>
    <row r="743" ht="15.75" customHeight="1">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row>
    <row r="744" ht="15.75" customHeight="1">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row>
    <row r="745" ht="15.75" customHeight="1">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row>
    <row r="746" ht="15.75" customHeight="1">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row>
    <row r="747" ht="15.75" customHeight="1">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row>
    <row r="748" ht="15.75" customHeight="1">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row>
    <row r="749" ht="15.75" customHeight="1">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row>
    <row r="750" ht="15.75" customHeight="1">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row>
    <row r="751" ht="15.75" customHeight="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row>
    <row r="752" ht="15.75" customHeight="1">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row>
    <row r="753" ht="15.75" customHeight="1">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row>
    <row r="754" ht="15.75" customHeight="1">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row>
    <row r="755" ht="15.75" customHeight="1">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row>
    <row r="756" ht="15.75" customHeight="1">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row>
    <row r="757" ht="15.75" customHeight="1">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row>
    <row r="758" ht="15.75" customHeight="1">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row>
    <row r="759" ht="15.75" customHeight="1">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row>
    <row r="760" ht="15.75" customHeight="1">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row>
    <row r="761" ht="15.75" customHeight="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row>
    <row r="762" ht="15.75" customHeight="1">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row>
    <row r="763" ht="15.75" customHeight="1">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row>
    <row r="764" ht="15.75" customHeight="1">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row>
    <row r="765" ht="15.75" customHeight="1">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row>
    <row r="766" ht="15.75" customHeight="1">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row>
    <row r="767" ht="15.75" customHeight="1">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row>
    <row r="768" ht="15.75" customHeight="1">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row>
    <row r="769" ht="15.75" customHeight="1">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row>
    <row r="770" ht="15.75" customHeight="1">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row>
    <row r="771" ht="15.75" customHeight="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row>
    <row r="772" ht="15.75" customHeight="1">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row>
    <row r="773" ht="15.75" customHeight="1">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row>
    <row r="774" ht="15.75" customHeight="1">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row>
    <row r="775" ht="15.75" customHeight="1">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row>
    <row r="776" ht="15.75" customHeight="1">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row>
    <row r="777" ht="15.75" customHeight="1">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row>
    <row r="778" ht="15.75" customHeight="1">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row>
    <row r="779" ht="15.75" customHeight="1">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row>
    <row r="780" ht="15.75" customHeight="1">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row>
    <row r="781" ht="15.75" customHeight="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row>
    <row r="782" ht="15.75" customHeight="1">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row>
    <row r="783" ht="15.75" customHeight="1">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row>
    <row r="784" ht="15.75" customHeight="1">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row>
    <row r="785" ht="15.75" customHeight="1">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row>
    <row r="786" ht="15.75" customHeight="1">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row>
    <row r="787" ht="15.75" customHeight="1">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row>
    <row r="788" ht="15.75" customHeight="1">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row>
    <row r="789" ht="15.75" customHeight="1">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row>
    <row r="790" ht="15.75" customHeight="1">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row>
    <row r="791" ht="15.75" customHeight="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row>
    <row r="792" ht="15.75" customHeight="1">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row>
    <row r="793" ht="15.75" customHeight="1">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row>
    <row r="794" ht="15.75" customHeight="1">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row>
    <row r="795" ht="15.75" customHeight="1">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row>
    <row r="796" ht="15.75" customHeight="1">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row>
    <row r="797" ht="15.75" customHeight="1">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row>
    <row r="798" ht="15.75" customHeight="1">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row>
    <row r="799" ht="15.75" customHeight="1">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row>
    <row r="800" ht="15.75" customHeight="1">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row>
    <row r="801" ht="15.75" customHeight="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row>
    <row r="802" ht="15.75" customHeight="1">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row>
    <row r="803" ht="15.75" customHeight="1">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row>
    <row r="804" ht="15.75" customHeight="1">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row>
    <row r="805" ht="15.75" customHeight="1">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row>
    <row r="806" ht="15.75" customHeight="1">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row>
    <row r="807" ht="15.75" customHeight="1">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row>
    <row r="808" ht="15.75" customHeight="1">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row>
    <row r="809" ht="15.75" customHeight="1">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row>
    <row r="810" ht="15.75" customHeight="1">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row>
    <row r="811" ht="15.75" customHeight="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row>
    <row r="812" ht="15.75" customHeight="1">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row>
    <row r="813" ht="15.75" customHeight="1">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row>
    <row r="814" ht="15.75" customHeight="1">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row>
    <row r="815" ht="15.75" customHeight="1">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row>
    <row r="816" ht="15.75" customHeight="1">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row>
    <row r="817" ht="15.75" customHeight="1">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row>
    <row r="818" ht="15.75" customHeight="1">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row>
    <row r="819" ht="15.75" customHeight="1">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row>
    <row r="820" ht="15.75" customHeight="1">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row>
    <row r="821" ht="15.75" customHeight="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row>
    <row r="822" ht="15.75" customHeight="1">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row>
    <row r="823" ht="15.75" customHeight="1">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row>
    <row r="824" ht="15.75" customHeight="1">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row>
    <row r="825" ht="15.75" customHeight="1">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row>
    <row r="826" ht="15.75" customHeight="1">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row>
    <row r="827" ht="15.75" customHeight="1">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row>
    <row r="828" ht="15.75" customHeight="1">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row>
    <row r="829" ht="15.75" customHeight="1">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row>
    <row r="830" ht="15.75" customHeight="1">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row>
    <row r="831" ht="15.75" customHeight="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row>
    <row r="832" ht="15.75" customHeight="1">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row>
    <row r="833" ht="15.75" customHeight="1">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row>
    <row r="834" ht="15.75" customHeight="1">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row>
    <row r="835" ht="15.75" customHeight="1">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row>
    <row r="836" ht="15.75" customHeight="1">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row>
    <row r="837" ht="15.75" customHeight="1">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row>
    <row r="838" ht="15.75" customHeight="1">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row>
    <row r="839" ht="15.75" customHeight="1">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row>
    <row r="840" ht="15.75" customHeight="1">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row>
    <row r="841" ht="15.75" customHeight="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row>
    <row r="842" ht="15.75" customHeight="1">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row>
    <row r="843" ht="15.75" customHeight="1">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row>
    <row r="844" ht="15.75" customHeight="1">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row>
    <row r="845" ht="15.75" customHeight="1">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row>
    <row r="846" ht="15.75" customHeight="1">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row>
    <row r="847" ht="15.75" customHeight="1">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row>
    <row r="848" ht="15.75" customHeight="1">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row>
    <row r="849" ht="15.75" customHeight="1">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row>
    <row r="850" ht="15.75" customHeight="1">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row>
    <row r="851" ht="15.75" customHeight="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row>
    <row r="852" ht="15.75" customHeight="1">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row>
    <row r="853" ht="15.75" customHeight="1">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row>
    <row r="854" ht="15.75" customHeight="1">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row>
    <row r="855" ht="15.75" customHeight="1">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row>
    <row r="856" ht="15.75" customHeight="1">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row>
    <row r="857" ht="15.75" customHeight="1">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row>
    <row r="858" ht="15.75" customHeight="1">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row>
    <row r="859" ht="15.75" customHeight="1">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row>
    <row r="860" ht="15.75" customHeight="1">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row>
    <row r="861" ht="15.75" customHeight="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row>
    <row r="862" ht="15.75" customHeight="1">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row>
    <row r="863" ht="15.75" customHeight="1">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row>
    <row r="864" ht="15.75" customHeight="1">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row>
    <row r="865" ht="15.75" customHeight="1">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row>
    <row r="866" ht="15.75" customHeight="1">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row>
    <row r="867" ht="15.75" customHeight="1">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row>
    <row r="868" ht="15.75" customHeight="1">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row>
    <row r="869" ht="15.75" customHeight="1">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row>
    <row r="870" ht="15.75" customHeight="1">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row>
    <row r="871" ht="15.75" customHeight="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row>
    <row r="872" ht="15.75" customHeight="1">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row>
    <row r="873" ht="15.75" customHeight="1">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row>
    <row r="874" ht="15.75" customHeight="1">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row>
    <row r="875" ht="15.75" customHeight="1">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row>
    <row r="876" ht="15.75" customHeight="1">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row>
    <row r="877" ht="15.75" customHeight="1">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row>
    <row r="878" ht="15.75" customHeight="1">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row>
    <row r="879" ht="15.75" customHeight="1">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row>
    <row r="880" ht="15.75" customHeight="1">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row>
    <row r="881" ht="15.75" customHeight="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row>
    <row r="882" ht="15.75" customHeight="1">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row>
    <row r="883" ht="15.75" customHeight="1">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row>
    <row r="884" ht="15.75" customHeight="1">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row>
    <row r="885" ht="15.75" customHeight="1">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row>
    <row r="886" ht="15.75" customHeight="1">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row>
    <row r="887" ht="15.75" customHeight="1">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row>
    <row r="888" ht="15.75" customHeight="1">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row>
    <row r="889" ht="15.75" customHeight="1">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row>
    <row r="890" ht="15.75" customHeight="1">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row>
    <row r="891" ht="15.75" customHeight="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row>
    <row r="892" ht="15.75" customHeight="1">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row>
    <row r="893" ht="15.75" customHeight="1">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row>
    <row r="894" ht="15.75" customHeight="1">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row>
    <row r="895" ht="15.75" customHeight="1">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row>
    <row r="896" ht="15.75" customHeight="1">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row>
    <row r="897" ht="15.75" customHeight="1">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row>
    <row r="898" ht="15.75" customHeight="1">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row>
    <row r="899" ht="15.75" customHeight="1">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row>
    <row r="900" ht="15.75" customHeight="1">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row>
    <row r="901" ht="15.75" customHeight="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row>
    <row r="902" ht="15.75" customHeight="1">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row>
    <row r="903" ht="15.75" customHeight="1">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row>
    <row r="904" ht="15.75" customHeight="1">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row>
    <row r="905" ht="15.75" customHeight="1">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row>
    <row r="906" ht="15.75" customHeight="1">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row>
    <row r="907" ht="15.75" customHeight="1">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row>
    <row r="908" ht="15.75" customHeight="1">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row>
    <row r="909" ht="15.75" customHeight="1">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row>
    <row r="910" ht="15.75" customHeight="1">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row>
    <row r="911" ht="15.75" customHeight="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row>
    <row r="912" ht="15.75" customHeight="1">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row>
    <row r="913" ht="15.75" customHeight="1">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row>
    <row r="914" ht="15.75" customHeight="1">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row>
    <row r="915" ht="15.75" customHeight="1">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row>
    <row r="916" ht="15.75" customHeight="1">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row>
    <row r="917" ht="15.75" customHeight="1">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row>
    <row r="918" ht="15.75" customHeight="1">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row>
    <row r="919" ht="15.75" customHeight="1">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row>
    <row r="920" ht="15.75" customHeight="1">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row>
    <row r="921" ht="15.75" customHeight="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row>
    <row r="922" ht="15.75" customHeight="1">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row>
    <row r="923" ht="15.75" customHeight="1">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row>
    <row r="924" ht="15.75" customHeight="1">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row>
    <row r="925" ht="15.75" customHeight="1">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row>
    <row r="926" ht="15.75" customHeight="1">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row>
    <row r="927" ht="15.75" customHeight="1">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row>
    <row r="928" ht="15.75" customHeight="1">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row>
    <row r="929" ht="15.75" customHeight="1">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row>
    <row r="930" ht="15.75" customHeight="1">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row>
    <row r="931" ht="15.75" customHeight="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row>
    <row r="932" ht="15.75" customHeight="1">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row>
    <row r="933" ht="15.75" customHeight="1">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row>
    <row r="934" ht="15.75" customHeight="1">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row>
    <row r="935" ht="15.75" customHeight="1">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row>
    <row r="936" ht="15.75" customHeight="1">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row>
    <row r="937" ht="15.75" customHeight="1">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row>
    <row r="938" ht="15.75" customHeight="1">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row>
    <row r="939" ht="15.75" customHeight="1">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row>
    <row r="940" ht="15.75" customHeight="1">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row>
    <row r="941" ht="15.75" customHeight="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row>
    <row r="942" ht="15.75" customHeight="1">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row>
    <row r="943" ht="15.75" customHeight="1">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row>
    <row r="944" ht="15.75" customHeight="1">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row>
    <row r="945" ht="15.75" customHeight="1">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row>
    <row r="946" ht="15.75" customHeight="1">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row>
    <row r="947" ht="15.75" customHeight="1">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row>
    <row r="948" ht="15.75" customHeight="1">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row>
    <row r="949" ht="15.75" customHeight="1">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row>
    <row r="950" ht="15.75" customHeight="1">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row>
    <row r="951" ht="15.75" customHeight="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row>
    <row r="952" ht="15.75" customHeight="1">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row>
    <row r="953" ht="15.75" customHeight="1">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row>
    <row r="954" ht="15.75" customHeight="1">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row>
    <row r="955" ht="15.75" customHeight="1">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row>
    <row r="956" ht="15.75" customHeight="1">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row>
    <row r="957" ht="15.75" customHeight="1">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row>
    <row r="958" ht="15.75" customHeight="1">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row>
    <row r="959" ht="15.75" customHeight="1">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row>
    <row r="960" ht="15.75" customHeight="1">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row>
    <row r="961" ht="15.75" customHeight="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row>
    <row r="962" ht="15.75" customHeight="1">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row>
    <row r="963" ht="15.75" customHeight="1">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row>
    <row r="964" ht="15.75" customHeight="1">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row>
    <row r="965" ht="15.75" customHeight="1">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row>
    <row r="966" ht="15.75" customHeight="1">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row>
    <row r="967" ht="15.75" customHeight="1">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row>
    <row r="968" ht="15.75" customHeight="1">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row>
    <row r="969" ht="15.75" customHeight="1">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row>
    <row r="970" ht="15.75" customHeight="1">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row>
    <row r="971" ht="15.75" customHeight="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row>
    <row r="972" ht="15.75" customHeight="1">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row>
    <row r="973" ht="15.75" customHeight="1">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row>
    <row r="974" ht="15.75" customHeight="1">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row>
    <row r="975" ht="15.75" customHeight="1">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row>
    <row r="976" ht="15.75" customHeight="1">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row>
    <row r="977" ht="15.75" customHeight="1">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row>
    <row r="978" ht="15.75" customHeight="1">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row>
    <row r="979" ht="15.75" customHeight="1">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row>
    <row r="980" ht="15.75" customHeight="1">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row>
    <row r="981" ht="15.75" customHeight="1">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row>
    <row r="982" ht="15.75" customHeight="1">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row>
    <row r="983" ht="15.75" customHeight="1">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row>
    <row r="984" ht="15.75" customHeight="1">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row>
    <row r="985" ht="15.75" customHeight="1">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row>
    <row r="986" ht="15.75" customHeight="1">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row>
    <row r="987" ht="15.75" customHeight="1">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row>
    <row r="988" ht="15.75" customHeight="1">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row>
    <row r="989" ht="15.75" customHeight="1">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row>
    <row r="990" ht="15.75" customHeight="1">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row>
    <row r="991" ht="15.75" customHeight="1">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row>
    <row r="992" ht="15.75" customHeight="1">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row>
    <row r="993" ht="15.75" customHeight="1">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row>
    <row r="994" ht="15.75" customHeight="1">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row>
    <row r="995" ht="15.75" customHeight="1">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row>
    <row r="996" ht="15.75" customHeight="1">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row>
    <row r="997" ht="15.75" customHeight="1">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row>
    <row r="998" ht="15.75" customHeight="1">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row>
    <row r="999" ht="15.75" customHeight="1">
      <c r="A999" s="44"/>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row>
    <row r="1000" ht="15.75" customHeight="1">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row>
  </sheetData>
  <mergeCells count="14">
    <mergeCell ref="A31:J31"/>
    <mergeCell ref="A37:J37"/>
    <mergeCell ref="A43:J43"/>
    <mergeCell ref="A49:J49"/>
    <mergeCell ref="A55:J55"/>
    <mergeCell ref="A60:J60"/>
    <mergeCell ref="A65:J65"/>
    <mergeCell ref="A1:J1"/>
    <mergeCell ref="A2:J2"/>
    <mergeCell ref="A4:J4"/>
    <mergeCell ref="A9:J9"/>
    <mergeCell ref="A14:J14"/>
    <mergeCell ref="A20:J20"/>
    <mergeCell ref="A26:J26"/>
  </mergeCells>
  <conditionalFormatting sqref="D5:D69">
    <cfRule type="colorScale" priority="1">
      <colorScale>
        <cfvo type="formula" val="1"/>
        <cfvo type="formula" val="3"/>
        <cfvo type="formula" val="5"/>
        <color rgb="FFF4CCCC"/>
        <color rgb="FFFFF2CC"/>
        <color rgb="FFD9EAD3"/>
      </colorScale>
    </cfRule>
  </conditionalFormatting>
  <dataValidations>
    <dataValidation type="decimal" allowBlank="1" sqref="D5:D7 D10:D12 D15:D18 D21:D24 D27:D29 D32:D35 D38:D41 D44:D47 D50:D53 D56:D58 D61:D63 D66:D68">
      <formula1>1.0</formula1>
      <formula2>5.0</formula2>
    </dataValidation>
    <dataValidation type="list" allowBlank="1" sqref="I5:I7 I10:I12 I15:I18 I21:I24 I27:I29 I32:I35 I38:I41 I44:I47 I50:I53 I56:I58 I61:I63 I66:I68">
      <formula1>"Critical,High,Medium,Low"</formula1>
    </dataValidation>
  </dataValidations>
  <printOptions/>
  <pageMargins bottom="0.4" footer="0.0" header="0.0" left="0.3" right="0.3" top="0.4"/>
  <pageSetup fitToHeight="0" paperSize="3"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2026-03-07T07:58:30Z</dcterms:created>
  <dc:creator>openpyxl</dc:creator>
</cp:coreProperties>
</file>

<file path=docProps/custom.xml><?xml version="1.0" encoding="utf-8"?>
<Properties xmlns="http://schemas.openxmlformats.org/officeDocument/2006/custom-properties" xmlns:vt="http://schemas.openxmlformats.org/officeDocument/2006/docPropsVTypes"/>
</file>