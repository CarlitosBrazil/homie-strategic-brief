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s Azevedo\Desktop\homie-strategic-brief\assets\financial_model\"/>
    </mc:Choice>
  </mc:AlternateContent>
  <xr:revisionPtr revIDLastSave="0" documentId="8_{7A1E636C-BDE3-47E6-A39D-9A078512BF3A}" xr6:coauthVersionLast="47" xr6:coauthVersionMax="47" xr10:uidLastSave="{00000000-0000-0000-0000-000000000000}"/>
  <bookViews>
    <workbookView xWindow="-28920" yWindow="-270" windowWidth="29040" windowHeight="15840" activeTab="7" xr2:uid="{00000000-000D-0000-FFFF-FFFF00000000}"/>
  </bookViews>
  <sheets>
    <sheet name="Hinweise" sheetId="1" r:id="rId1"/>
    <sheet name="Kennzahlen &amp; Definitionen" sheetId="2" r:id="rId2"/>
    <sheet name="Bekannte Eingaben" sheetId="3" r:id="rId3"/>
    <sheet name="Annahmen" sheetId="4" r:id="rId4"/>
    <sheet name="homie Eingaben" sheetId="5" r:id="rId5"/>
    <sheet name="Unit Economics" sheetId="6" r:id="rId6"/>
    <sheet name="5-Jahres-Projektion" sheetId="7" r:id="rId7"/>
    <sheet name="Dashboard" sheetId="8" r:id="rId8"/>
  </sheets>
  <definedNames>
    <definedName name="_xlnm.Print_Area" localSheetId="7">Dashboard!$A$1:$P$84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6" i="8" l="1"/>
  <c r="A75" i="8"/>
  <c r="A74" i="8"/>
  <c r="A73" i="8"/>
  <c r="A72" i="8"/>
  <c r="A31" i="8"/>
  <c r="A30" i="8"/>
  <c r="A29" i="8"/>
  <c r="A28" i="8"/>
  <c r="V17" i="8"/>
  <c r="U17" i="8"/>
  <c r="T17" i="8"/>
  <c r="S17" i="8"/>
  <c r="R17" i="8"/>
  <c r="A15" i="8"/>
  <c r="V14" i="8"/>
  <c r="U14" i="8"/>
  <c r="T14" i="8"/>
  <c r="S14" i="8"/>
  <c r="R14" i="8"/>
  <c r="A14" i="8"/>
  <c r="A13" i="8"/>
  <c r="A12" i="8"/>
  <c r="A11" i="8"/>
  <c r="V1" i="8"/>
  <c r="U1" i="8"/>
  <c r="T1" i="8"/>
  <c r="S1" i="8"/>
  <c r="R1" i="8"/>
  <c r="B61" i="7"/>
  <c r="C61" i="7" s="1"/>
  <c r="D61" i="7" s="1"/>
  <c r="E61" i="7" s="1"/>
  <c r="F61" i="7" s="1"/>
  <c r="F27" i="7"/>
  <c r="E27" i="7"/>
  <c r="D27" i="7"/>
  <c r="C27" i="7"/>
  <c r="B27" i="7"/>
  <c r="B26" i="7"/>
  <c r="F20" i="7"/>
  <c r="E20" i="7"/>
  <c r="D20" i="7"/>
  <c r="C20" i="7"/>
  <c r="B20" i="7"/>
  <c r="B19" i="7"/>
  <c r="F13" i="7"/>
  <c r="E13" i="7"/>
  <c r="D13" i="7"/>
  <c r="C13" i="7"/>
  <c r="B13" i="7"/>
  <c r="B12" i="7"/>
  <c r="F6" i="7"/>
  <c r="E6" i="7"/>
  <c r="D6" i="7"/>
  <c r="C6" i="7"/>
  <c r="B6" i="7"/>
  <c r="B5" i="7"/>
  <c r="J7" i="6"/>
  <c r="I31" i="8" s="1"/>
  <c r="G7" i="6"/>
  <c r="H7" i="6" s="1"/>
  <c r="E7" i="6"/>
  <c r="C31" i="8" s="1"/>
  <c r="C7" i="6"/>
  <c r="J6" i="6"/>
  <c r="I30" i="8" s="1"/>
  <c r="G6" i="6"/>
  <c r="F40" i="7" s="1"/>
  <c r="E6" i="6"/>
  <c r="C30" i="8" s="1"/>
  <c r="C6" i="6"/>
  <c r="J5" i="6"/>
  <c r="I29" i="8" s="1"/>
  <c r="G5" i="6"/>
  <c r="C39" i="7" s="1"/>
  <c r="E5" i="6"/>
  <c r="C29" i="8" s="1"/>
  <c r="C5" i="6"/>
  <c r="J4" i="6"/>
  <c r="I28" i="8" s="1"/>
  <c r="G4" i="6"/>
  <c r="D38" i="7" s="1"/>
  <c r="E4" i="6"/>
  <c r="C28" i="8" s="1"/>
  <c r="C4" i="6"/>
  <c r="C38" i="5"/>
  <c r="C37" i="5"/>
  <c r="B27" i="5" s="1"/>
  <c r="C36" i="5"/>
  <c r="B26" i="5"/>
  <c r="B25" i="5"/>
  <c r="D25" i="5" s="1"/>
  <c r="E25" i="5" s="1"/>
  <c r="B35" i="7" s="1"/>
  <c r="C35" i="7" s="1"/>
  <c r="D35" i="7" s="1"/>
  <c r="E35" i="7" s="1"/>
  <c r="F35" i="7" s="1"/>
  <c r="B24" i="5"/>
  <c r="B4" i="6" s="1"/>
  <c r="C8" i="5"/>
  <c r="C7" i="5"/>
  <c r="C6" i="5"/>
  <c r="D4" i="6" l="1"/>
  <c r="F4" i="6" s="1"/>
  <c r="E38" i="7"/>
  <c r="H4" i="6"/>
  <c r="C40" i="7"/>
  <c r="E41" i="7"/>
  <c r="D24" i="5"/>
  <c r="E24" i="5" s="1"/>
  <c r="B34" i="7" s="1"/>
  <c r="C34" i="7" s="1"/>
  <c r="D34" i="7" s="1"/>
  <c r="E34" i="7" s="1"/>
  <c r="F34" i="7" s="1"/>
  <c r="H5" i="6"/>
  <c r="H6" i="6"/>
  <c r="F41" i="7"/>
  <c r="D31" i="8"/>
  <c r="B28" i="7"/>
  <c r="B40" i="7"/>
  <c r="B22" i="7" s="1"/>
  <c r="B7" i="6"/>
  <c r="D7" i="6" s="1"/>
  <c r="D27" i="5"/>
  <c r="E27" i="5" s="1"/>
  <c r="B37" i="7" s="1"/>
  <c r="C37" i="7" s="1"/>
  <c r="D37" i="7" s="1"/>
  <c r="E37" i="7" s="1"/>
  <c r="F37" i="7" s="1"/>
  <c r="B14" i="7"/>
  <c r="B6" i="6"/>
  <c r="D6" i="6" s="1"/>
  <c r="D26" i="5"/>
  <c r="E26" i="5" s="1"/>
  <c r="B36" i="7" s="1"/>
  <c r="C36" i="7" s="1"/>
  <c r="D36" i="7" s="1"/>
  <c r="E36" i="7" s="1"/>
  <c r="F36" i="7" s="1"/>
  <c r="B5" i="6"/>
  <c r="D5" i="6" s="1"/>
  <c r="C38" i="7"/>
  <c r="F38" i="7"/>
  <c r="B38" i="7"/>
  <c r="B8" i="7" s="1"/>
  <c r="F39" i="7"/>
  <c r="B39" i="7"/>
  <c r="B15" i="7" s="1"/>
  <c r="D29" i="8"/>
  <c r="E39" i="7"/>
  <c r="D30" i="8"/>
  <c r="E40" i="7"/>
  <c r="D40" i="7"/>
  <c r="D41" i="7"/>
  <c r="C41" i="7"/>
  <c r="B7" i="7"/>
  <c r="B21" i="7"/>
  <c r="D39" i="7"/>
  <c r="B41" i="7"/>
  <c r="B29" i="7" s="1"/>
  <c r="D28" i="8"/>
  <c r="B28" i="8" l="1"/>
  <c r="B30" i="7"/>
  <c r="I7" i="7" s="1"/>
  <c r="B23" i="7"/>
  <c r="I6" i="7" s="1"/>
  <c r="B46" i="7"/>
  <c r="B16" i="7"/>
  <c r="I5" i="7" s="1"/>
  <c r="F6" i="6"/>
  <c r="B30" i="8"/>
  <c r="B31" i="8"/>
  <c r="F7" i="6"/>
  <c r="B45" i="7"/>
  <c r="B55" i="7"/>
  <c r="B56" i="7" s="1"/>
  <c r="B44" i="7"/>
  <c r="B52" i="7"/>
  <c r="K4" i="6"/>
  <c r="I4" i="6"/>
  <c r="E28" i="8" s="1"/>
  <c r="B47" i="7"/>
  <c r="B9" i="7"/>
  <c r="B29" i="8"/>
  <c r="F5" i="6"/>
  <c r="C12" i="7" l="1"/>
  <c r="C15" i="7" s="1"/>
  <c r="C19" i="7"/>
  <c r="C22" i="7" s="1"/>
  <c r="C26" i="7"/>
  <c r="C28" i="7" s="1"/>
  <c r="B48" i="7"/>
  <c r="B68" i="7" s="1"/>
  <c r="K5" i="6"/>
  <c r="I5" i="6"/>
  <c r="E29" i="8" s="1"/>
  <c r="B72" i="7"/>
  <c r="R18" i="8"/>
  <c r="F28" i="8"/>
  <c r="L4" i="6"/>
  <c r="K7" i="6"/>
  <c r="I7" i="6"/>
  <c r="E31" i="8" s="1"/>
  <c r="B57" i="7"/>
  <c r="B58" i="7" s="1"/>
  <c r="R19" i="8" s="1"/>
  <c r="I4" i="7"/>
  <c r="I8" i="7" s="1"/>
  <c r="C5" i="7"/>
  <c r="K6" i="6"/>
  <c r="I6" i="6"/>
  <c r="E30" i="8" s="1"/>
  <c r="C14" i="7" l="1"/>
  <c r="C16" i="7" s="1"/>
  <c r="J5" i="7" s="1"/>
  <c r="C21" i="7"/>
  <c r="C23" i="7" s="1"/>
  <c r="C29" i="7"/>
  <c r="C30" i="7" s="1"/>
  <c r="D26" i="7" s="1"/>
  <c r="B49" i="7"/>
  <c r="B63" i="7" s="1"/>
  <c r="C72" i="8" s="1"/>
  <c r="F30" i="8"/>
  <c r="L6" i="6"/>
  <c r="F31" i="8"/>
  <c r="L7" i="6"/>
  <c r="I13" i="7"/>
  <c r="I15" i="7"/>
  <c r="I12" i="7"/>
  <c r="I14" i="7"/>
  <c r="B59" i="7"/>
  <c r="L5" i="6"/>
  <c r="F29" i="8"/>
  <c r="C44" i="7"/>
  <c r="C47" i="7"/>
  <c r="C46" i="7"/>
  <c r="C8" i="7"/>
  <c r="C7" i="7"/>
  <c r="M4" i="6"/>
  <c r="H28" i="8" s="1"/>
  <c r="G28" i="8"/>
  <c r="C52" i="7" l="1"/>
  <c r="D12" i="7"/>
  <c r="D14" i="7" s="1"/>
  <c r="D19" i="7"/>
  <c r="D21" i="7" s="1"/>
  <c r="J6" i="7"/>
  <c r="B50" i="7"/>
  <c r="B69" i="7" s="1"/>
  <c r="B72" i="8"/>
  <c r="J7" i="7"/>
  <c r="B11" i="8"/>
  <c r="B53" i="7"/>
  <c r="B62" i="7" s="1"/>
  <c r="B71" i="7" s="1"/>
  <c r="B64" i="7"/>
  <c r="D72" i="8" s="1"/>
  <c r="C9" i="7"/>
  <c r="C57" i="7" s="1"/>
  <c r="C58" i="7" s="1"/>
  <c r="S19" i="8" s="1"/>
  <c r="B65" i="7"/>
  <c r="E72" i="8" s="1"/>
  <c r="B51" i="7"/>
  <c r="B70" i="7" s="1"/>
  <c r="R2" i="8"/>
  <c r="G29" i="8"/>
  <c r="M5" i="6"/>
  <c r="H29" i="8" s="1"/>
  <c r="G31" i="8"/>
  <c r="M7" i="6"/>
  <c r="H31" i="8" s="1"/>
  <c r="G30" i="8"/>
  <c r="M6" i="6"/>
  <c r="H30" i="8" s="1"/>
  <c r="C55" i="7"/>
  <c r="C56" i="7" s="1"/>
  <c r="C53" i="7"/>
  <c r="C45" i="7"/>
  <c r="C48" i="7" s="1"/>
  <c r="I16" i="7"/>
  <c r="D29" i="7"/>
  <c r="D28" i="7"/>
  <c r="D15" i="7" l="1"/>
  <c r="D16" i="7" s="1"/>
  <c r="E12" i="7" s="1"/>
  <c r="D30" i="7"/>
  <c r="E26" i="7" s="1"/>
  <c r="D22" i="7"/>
  <c r="D23" i="7" s="1"/>
  <c r="K6" i="7" s="1"/>
  <c r="R15" i="8"/>
  <c r="D5" i="7"/>
  <c r="D8" i="7" s="1"/>
  <c r="J4" i="7"/>
  <c r="J8" i="7" s="1"/>
  <c r="J12" i="7" s="1"/>
  <c r="C68" i="7"/>
  <c r="C72" i="7"/>
  <c r="C59" i="7"/>
  <c r="C62" i="7" s="1"/>
  <c r="S15" i="8" s="1"/>
  <c r="S18" i="8"/>
  <c r="C49" i="7"/>
  <c r="K7" i="7" l="1"/>
  <c r="D46" i="7"/>
  <c r="E19" i="7"/>
  <c r="E21" i="7" s="1"/>
  <c r="K5" i="7"/>
  <c r="J14" i="7"/>
  <c r="D7" i="7"/>
  <c r="D55" i="7" s="1"/>
  <c r="D56" i="7" s="1"/>
  <c r="D47" i="7"/>
  <c r="D44" i="7"/>
  <c r="J15" i="7"/>
  <c r="J13" i="7"/>
  <c r="C71" i="7"/>
  <c r="C65" i="7"/>
  <c r="E73" i="8" s="1"/>
  <c r="C51" i="7"/>
  <c r="C70" i="7" s="1"/>
  <c r="B12" i="8"/>
  <c r="C64" i="7"/>
  <c r="D73" i="8" s="1"/>
  <c r="S2" i="8"/>
  <c r="B73" i="8"/>
  <c r="C63" i="7"/>
  <c r="C73" i="8" s="1"/>
  <c r="C50" i="7"/>
  <c r="C69" i="7" s="1"/>
  <c r="E29" i="7"/>
  <c r="E28" i="7"/>
  <c r="E15" i="7"/>
  <c r="E14" i="7"/>
  <c r="E22" i="7" l="1"/>
  <c r="E23" i="7" s="1"/>
  <c r="L6" i="7" s="1"/>
  <c r="J16" i="7"/>
  <c r="E30" i="7"/>
  <c r="F26" i="7" s="1"/>
  <c r="D45" i="7"/>
  <c r="D48" i="7" s="1"/>
  <c r="D53" i="7"/>
  <c r="D9" i="7"/>
  <c r="D52" i="7"/>
  <c r="E16" i="7"/>
  <c r="F12" i="7" s="1"/>
  <c r="T18" i="8"/>
  <c r="D72" i="7"/>
  <c r="L7" i="7" l="1"/>
  <c r="D68" i="7"/>
  <c r="D49" i="7"/>
  <c r="B74" i="8" s="1"/>
  <c r="L5" i="7"/>
  <c r="F19" i="7"/>
  <c r="F21" i="7" s="1"/>
  <c r="K4" i="7"/>
  <c r="K8" i="7" s="1"/>
  <c r="E5" i="7"/>
  <c r="D57" i="7"/>
  <c r="D58" i="7" s="1"/>
  <c r="F15" i="7"/>
  <c r="F14" i="7"/>
  <c r="F28" i="7"/>
  <c r="F29" i="7"/>
  <c r="F22" i="7" l="1"/>
  <c r="F23" i="7" s="1"/>
  <c r="M6" i="7" s="1"/>
  <c r="F13" i="8" s="1"/>
  <c r="D64" i="7"/>
  <c r="D74" i="8" s="1"/>
  <c r="D50" i="7"/>
  <c r="D69" i="7" s="1"/>
  <c r="D51" i="7"/>
  <c r="D70" i="7" s="1"/>
  <c r="B13" i="8"/>
  <c r="D65" i="7"/>
  <c r="E74" i="8" s="1"/>
  <c r="T2" i="8"/>
  <c r="D63" i="7"/>
  <c r="C74" i="8" s="1"/>
  <c r="F30" i="7"/>
  <c r="M7" i="7" s="1"/>
  <c r="F14" i="8" s="1"/>
  <c r="T19" i="8"/>
  <c r="D59" i="7"/>
  <c r="D62" i="7" s="1"/>
  <c r="E46" i="7"/>
  <c r="E8" i="7"/>
  <c r="E44" i="7"/>
  <c r="E47" i="7"/>
  <c r="E7" i="7"/>
  <c r="F16" i="7"/>
  <c r="M5" i="7" s="1"/>
  <c r="S6" i="8" s="1"/>
  <c r="K13" i="7"/>
  <c r="K15" i="7"/>
  <c r="K14" i="7"/>
  <c r="K12" i="7"/>
  <c r="S8" i="8" l="1"/>
  <c r="F12" i="8"/>
  <c r="S7" i="8"/>
  <c r="E53" i="7"/>
  <c r="E9" i="7"/>
  <c r="E45" i="7"/>
  <c r="E48" i="7" s="1"/>
  <c r="E68" i="7" s="1"/>
  <c r="E55" i="7"/>
  <c r="E56" i="7" s="1"/>
  <c r="E52" i="7"/>
  <c r="D71" i="7"/>
  <c r="T15" i="8"/>
  <c r="K16" i="7"/>
  <c r="E72" i="7" l="1"/>
  <c r="U18" i="8"/>
  <c r="E49" i="7"/>
  <c r="F5" i="7"/>
  <c r="L4" i="7"/>
  <c r="L8" i="7" s="1"/>
  <c r="E57" i="7"/>
  <c r="E58" i="7" s="1"/>
  <c r="U19" i="8" s="1"/>
  <c r="L15" i="7" l="1"/>
  <c r="L13" i="7"/>
  <c r="L12" i="7"/>
  <c r="L14" i="7"/>
  <c r="F7" i="7"/>
  <c r="F52" i="7" s="1"/>
  <c r="F8" i="7"/>
  <c r="F44" i="7"/>
  <c r="F47" i="7"/>
  <c r="F46" i="7"/>
  <c r="E50" i="7"/>
  <c r="E69" i="7" s="1"/>
  <c r="U2" i="8"/>
  <c r="B14" i="8"/>
  <c r="E64" i="7"/>
  <c r="D75" i="8" s="1"/>
  <c r="E51" i="7"/>
  <c r="E70" i="7" s="1"/>
  <c r="E63" i="7"/>
  <c r="C75" i="8" s="1"/>
  <c r="B75" i="8"/>
  <c r="E65" i="7"/>
  <c r="E75" i="8" s="1"/>
  <c r="E59" i="7"/>
  <c r="E62" i="7" s="1"/>
  <c r="F9" i="7" l="1"/>
  <c r="M4" i="7" s="1"/>
  <c r="A36" i="8"/>
  <c r="E36" i="8"/>
  <c r="U15" i="8"/>
  <c r="E71" i="7"/>
  <c r="S12" i="8"/>
  <c r="I13" i="8"/>
  <c r="L16" i="7"/>
  <c r="S11" i="8"/>
  <c r="I12" i="8"/>
  <c r="F53" i="7"/>
  <c r="A60" i="8" s="1"/>
  <c r="F45" i="7"/>
  <c r="F55" i="7"/>
  <c r="F56" i="7" s="1"/>
  <c r="F57" i="7" l="1"/>
  <c r="F58" i="7" s="1"/>
  <c r="M48" i="8" s="1"/>
  <c r="F11" i="8"/>
  <c r="S5" i="8"/>
  <c r="M8" i="7"/>
  <c r="F72" i="7"/>
  <c r="A48" i="8"/>
  <c r="V18" i="8"/>
  <c r="F48" i="7"/>
  <c r="S10" i="8"/>
  <c r="I11" i="8"/>
  <c r="F59" i="7" l="1"/>
  <c r="I48" i="8" s="1"/>
  <c r="V19" i="8"/>
  <c r="E48" i="8"/>
  <c r="E5" i="8"/>
  <c r="F68" i="7"/>
  <c r="F49" i="7"/>
  <c r="M15" i="7"/>
  <c r="M14" i="7"/>
  <c r="M12" i="7"/>
  <c r="M13" i="7"/>
  <c r="F62" i="7" l="1"/>
  <c r="E60" i="8" s="1"/>
  <c r="M16" i="7"/>
  <c r="V2" i="8"/>
  <c r="A5" i="8"/>
  <c r="F51" i="7"/>
  <c r="F63" i="7"/>
  <c r="F50" i="7"/>
  <c r="B15" i="8"/>
  <c r="F64" i="7"/>
  <c r="F65" i="7"/>
  <c r="B76" i="8"/>
  <c r="F71" i="7" l="1"/>
  <c r="I5" i="8"/>
  <c r="I60" i="8"/>
  <c r="V15" i="8"/>
  <c r="F69" i="7"/>
  <c r="C5" i="8"/>
  <c r="M6" i="8"/>
  <c r="D76" i="8"/>
  <c r="F70" i="7"/>
  <c r="G5" i="8"/>
  <c r="E76" i="8"/>
  <c r="O6" i="8"/>
  <c r="K5" i="8"/>
  <c r="C7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00000000-0006-0000-0200-000001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5" authorId="0" shapeId="0" xr:uid="{00000000-0006-0000-0200-000002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6" authorId="0" shapeId="0" xr:uid="{00000000-0006-0000-0200-000003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7" authorId="0" shapeId="0" xr:uid="{00000000-0006-0000-0200-000004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8" authorId="0" shapeId="0" xr:uid="{00000000-0006-0000-0200-000005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9" authorId="0" shapeId="0" xr:uid="{00000000-0006-0000-0200-000006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0" authorId="0" shapeId="0" xr:uid="{00000000-0006-0000-0200-000007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1" authorId="0" shapeId="0" xr:uid="{00000000-0006-0000-0200-000008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2" authorId="0" shapeId="0" xr:uid="{00000000-0006-0000-0200-000009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3" authorId="0" shapeId="0" xr:uid="{00000000-0006-0000-0200-00000A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300-00000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5" authorId="0" shapeId="0" xr:uid="{00000000-0006-0000-0300-00000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6" authorId="0" shapeId="0" xr:uid="{00000000-0006-0000-0300-00000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7" authorId="0" shapeId="0" xr:uid="{00000000-0006-0000-0300-000004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8" authorId="0" shapeId="0" xr:uid="{00000000-0006-0000-0300-000005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9" authorId="0" shapeId="0" xr:uid="{00000000-0006-0000-0300-000006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0" authorId="0" shapeId="0" xr:uid="{00000000-0006-0000-0300-000007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1" authorId="0" shapeId="0" xr:uid="{00000000-0006-0000-0300-000008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2" authorId="0" shapeId="0" xr:uid="{00000000-0006-0000-0300-000009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3" authorId="0" shapeId="0" xr:uid="{00000000-0006-0000-0300-00000A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4" authorId="0" shapeId="0" xr:uid="{00000000-0006-0000-0300-00000B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5" authorId="0" shapeId="0" xr:uid="{00000000-0006-0000-0300-00000C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6" authorId="0" shapeId="0" xr:uid="{00000000-0006-0000-0300-00000D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7" authorId="0" shapeId="0" xr:uid="{00000000-0006-0000-0300-00000E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8" authorId="0" shapeId="0" xr:uid="{00000000-0006-0000-0300-00000F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9" authorId="0" shapeId="0" xr:uid="{00000000-0006-0000-0300-000010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0" authorId="0" shapeId="0" xr:uid="{00000000-0006-0000-0300-00001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1" authorId="0" shapeId="0" xr:uid="{00000000-0006-0000-0300-00001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2" authorId="0" shapeId="0" xr:uid="{00000000-0006-0000-0300-00001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3" authorId="0" shapeId="0" xr:uid="{00000000-0006-0000-0300-000014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4" authorId="0" shapeId="0" xr:uid="{00000000-0006-0000-0300-000015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5" authorId="0" shapeId="0" xr:uid="{00000000-0006-0000-0300-000016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6" authorId="0" shapeId="0" xr:uid="{00000000-0006-0000-0300-000017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7" authorId="0" shapeId="0" xr:uid="{00000000-0006-0000-0300-000018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8" authorId="0" shapeId="0" xr:uid="{00000000-0006-0000-0300-000019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9" authorId="0" shapeId="0" xr:uid="{00000000-0006-0000-0300-00001A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0" authorId="0" shapeId="0" xr:uid="{00000000-0006-0000-0300-00001B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1" authorId="0" shapeId="0" xr:uid="{00000000-0006-0000-0300-00001C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2" authorId="0" shapeId="0" xr:uid="{00000000-0006-0000-0300-00001D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3" authorId="0" shapeId="0" xr:uid="{00000000-0006-0000-0300-00001E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4" authorId="0" shapeId="0" xr:uid="{00000000-0006-0000-0300-00001F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5" authorId="0" shapeId="0" xr:uid="{00000000-0006-0000-0300-000020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6" authorId="0" shapeId="0" xr:uid="{00000000-0006-0000-0300-00002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7" authorId="0" shapeId="0" xr:uid="{00000000-0006-0000-0300-00002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8" authorId="0" shapeId="0" xr:uid="{00000000-0006-0000-0300-00002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01" authorId="0" shapeId="0" xr:uid="{00000000-0006-0000-0300-000024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2" authorId="0" shapeId="0" xr:uid="{00000000-0006-0000-0300-000025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3" authorId="0" shapeId="0" xr:uid="{00000000-0006-0000-0300-000026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4" authorId="0" shapeId="0" xr:uid="{00000000-0006-0000-0300-000027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5" authorId="0" shapeId="0" xr:uid="{00000000-0006-0000-0300-000028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6" authorId="0" shapeId="0" xr:uid="{00000000-0006-0000-0300-000029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7" authorId="0" shapeId="0" xr:uid="{00000000-0006-0000-0300-00002A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8" authorId="0" shapeId="0" xr:uid="{00000000-0006-0000-0300-00002B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9" authorId="0" shapeId="0" xr:uid="{00000000-0006-0000-0300-00002C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10" authorId="0" shapeId="0" xr:uid="{00000000-0006-0000-0300-00002D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6" authorId="0" shapeId="0" xr:uid="{00000000-0006-0000-0400-000001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7" authorId="0" shapeId="0" xr:uid="{00000000-0006-0000-0400-000002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8" authorId="0" shapeId="0" xr:uid="{00000000-0006-0000-0400-000003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2" authorId="0" shapeId="0" xr:uid="{00000000-0006-0000-0400-000004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3" authorId="0" shapeId="0" xr:uid="{00000000-0006-0000-0400-000005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4" authorId="0" shapeId="0" xr:uid="{00000000-0006-0000-0400-000006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</commentList>
</comments>
</file>

<file path=xl/sharedStrings.xml><?xml version="1.0" encoding="utf-8"?>
<sst xmlns="http://schemas.openxmlformats.org/spreadsheetml/2006/main" count="642" uniqueCount="403">
  <si>
    <t>homie SaaS-Wachstumsmodell — Startarbeitsmappe</t>
  </si>
  <si>
    <t>Zweck</t>
  </si>
  <si>
    <t>Annahmenbasiertes SaaS-Modell für homie zur Unterstützung einer Bewerbung als Marketing Manager Paid &amp; Performance.</t>
  </si>
  <si>
    <t>Verwendung</t>
  </si>
  <si>
    <t>1. Prüfen Sie die bekannten Eingaben und ändern Sie öffentliche Faktendaten nur, wenn Sie besser belegte Quellen haben.</t>
  </si>
  <si>
    <t>2. Bearbeiten Sie nur blau formatierte Zellen in „Annahmen“ und „homie Eingaben“.</t>
  </si>
  <si>
    <t>3. Prüfen Sie die Unit Economics je Tarif.</t>
  </si>
  <si>
    <t>4. Bauen Sie Kundenwachstum und Umsatzlogik in der 5-Jahres-Projektion auf.</t>
  </si>
  <si>
    <t>5. Stellen Sie die wichtigsten KPIs im Dashboard dar.</t>
  </si>
  <si>
    <t>Kennzahl</t>
  </si>
  <si>
    <t>Vollständiger Name</t>
  </si>
  <si>
    <t>Formel</t>
  </si>
  <si>
    <t>Warum sie wichtig ist</t>
  </si>
  <si>
    <t>Warum sie für homie wichtig ist</t>
  </si>
  <si>
    <t>MRR</t>
  </si>
  <si>
    <t>Monatlich wiederkehrender Umsatz</t>
  </si>
  <si>
    <t>Summe der aktiven monatlich wiederkehrenden Abo-Umsätze</t>
  </si>
  <si>
    <t>Zentrale monatliche Skalierungskennzahl</t>
  </si>
  <si>
    <t>Nützlich zur Verfolgung des kurzfristigen kommerziellen Momentums</t>
  </si>
  <si>
    <t>ARR</t>
  </si>
  <si>
    <t>Jährlich wiederkehrender Umsatz</t>
  </si>
  <si>
    <t>MRR * 12</t>
  </si>
  <si>
    <t>Zentrale SaaS-Bewertungs- und Skalierungskennzahl</t>
  </si>
  <si>
    <t>Zentral für die Erzählung des Weges zur 1-Mrd.-€-Bewertung</t>
  </si>
  <si>
    <t>ARR Growth %</t>
  </si>
  <si>
    <t>Wachstum des jährlich wiederkehrenden Umsatzes</t>
  </si>
  <si>
    <t>(Ending ARR - Beginning ARR) / Beginning ARR</t>
  </si>
  <si>
    <t>Zeigt das Wachstumstempo</t>
  </si>
  <si>
    <t>Erforderlich für Bewertungssensitivität und Rule-of-40-Einordnung</t>
  </si>
  <si>
    <t>Net New ARR</t>
  </si>
  <si>
    <t>Netto neu hinzugewonnener jährlich wiederkehrender Umsatz</t>
  </si>
  <si>
    <t>New ARR + Expansion ARR - Churned ARR - Contraction ARR</t>
  </si>
  <si>
    <t>Misst echtes inkrementelles Wachstum</t>
  </si>
  <si>
    <t>Verbindet bezahlte Akquise mit nachhaltigem Wachstum</t>
  </si>
  <si>
    <t>CPL</t>
  </si>
  <si>
    <t>Kosten pro Lead</t>
  </si>
  <si>
    <t>Ad Spend / Leads</t>
  </si>
  <si>
    <t>Effizienz im oberen Funnel</t>
  </si>
  <si>
    <t>Die Rolle verweist ausdrücklich auf Lead-Generierungseffizienz</t>
  </si>
  <si>
    <t>CAC</t>
  </si>
  <si>
    <t>Kundenakquisitionskosten</t>
  </si>
  <si>
    <t>Sales &amp; Marketing Spend / New Customers</t>
  </si>
  <si>
    <t>Akquiseeffizienz</t>
  </si>
  <si>
    <t>Die Rolle verweist ausdrücklich auf CAC</t>
  </si>
  <si>
    <t>Pipeline Created</t>
  </si>
  <si>
    <t>Wert der qualifizierten Pipeline</t>
  </si>
  <si>
    <t>Wert der geschaffenen qualifizierten Opportunities</t>
  </si>
  <si>
    <t>Misst Umsatzwirkung über Leads hinaus</t>
  </si>
  <si>
    <t>Die Rolle betont den Pipeline-Impact</t>
  </si>
  <si>
    <t>SQL-to-Customer</t>
  </si>
  <si>
    <t>Sales-Conversion-Rate</t>
  </si>
  <si>
    <t>Closed Won Customers / SQLs</t>
  </si>
  <si>
    <t>Misst Lead-Qualität und die Abstimmung mit Sales</t>
  </si>
  <si>
    <t>Kritisch für die Abstimmung zwischen Paid und Sales</t>
  </si>
  <si>
    <t>LTV / CLTV</t>
  </si>
  <si>
    <t>Customer Lifetime Value</t>
  </si>
  <si>
    <t>Monatlicher Bruttogewinn pro Kunde / monatlicher Churn</t>
  </si>
  <si>
    <t>Kundenwert über die gesamte Laufzeit</t>
  </si>
  <si>
    <t>Erforderlich zur Bewertung skalierbarer bezahlter Akquise</t>
  </si>
  <si>
    <t>CAC Payback</t>
  </si>
  <si>
    <t>CAC-Amortisationsdauer</t>
  </si>
  <si>
    <t>CAC / monatlicher Bruttogewinn pro Kunde</t>
  </si>
  <si>
    <t>Geschwindigkeit der Rückgewinnung des eingesetzten Kapitals</t>
  </si>
  <si>
    <t>Kritisch für Budgetentscheidungen im Wachstum</t>
  </si>
  <si>
    <t>LTV:CAC</t>
  </si>
  <si>
    <t>Verhältnis von Lifetime Value zu CAC</t>
  </si>
  <si>
    <t>LTV / CAC</t>
  </si>
  <si>
    <t>Qualität der Unit Economics</t>
  </si>
  <si>
    <t>Zeigt, ob Wachstum wirtschaftlich tragfähig ist</t>
  </si>
  <si>
    <t>Bruttomarge %</t>
  </si>
  <si>
    <t>Bruttomarge in %</t>
  </si>
  <si>
    <t>(Umsatz - COGS) / Umsatz</t>
  </si>
  <si>
    <t>Effizienz der Leistungserbringung</t>
  </si>
  <si>
    <t>Wichtig in AI-SaaS, wo Inferenzkosten relevant sind</t>
  </si>
  <si>
    <t>Gross ARR Churn</t>
  </si>
  <si>
    <t>Brutto-ARR-Churn</t>
  </si>
  <si>
    <t>(verlorener ARR + Kontraktion-ARR) / Start-ARR</t>
  </si>
  <si>
    <t>Umsatzleckage</t>
  </si>
  <si>
    <t>Zeigt die Gesundheit der Retention</t>
  </si>
  <si>
    <t>NDR / NRR</t>
  </si>
  <si>
    <t>Net Dollar / Revenue Retention</t>
  </si>
  <si>
    <t>(Start-ARR - verlorener ARR - Kontraktion-ARR + Expansion-ARR) / Start-ARR</t>
  </si>
  <si>
    <t>Ausgleich zwischen Expansion und Abwanderung</t>
  </si>
  <si>
    <t>Relevant wegen Upgrades und Overages</t>
  </si>
  <si>
    <t>Burn Multiple</t>
  </si>
  <si>
    <t>Burn-Effizienz</t>
  </si>
  <si>
    <t>Net Burn / Net New ARR</t>
  </si>
  <si>
    <t>Kapitaleffizienz</t>
  </si>
  <si>
    <t>Nützlich für investorentaugliches Storytelling</t>
  </si>
  <si>
    <t>Bekannte Eingaben (öffentlich / vom Nutzer bereitgestellt)</t>
  </si>
  <si>
    <t>Posten</t>
  </si>
  <si>
    <t>Wert</t>
  </si>
  <si>
    <t>Einheiten</t>
  </si>
  <si>
    <t>Hinweise / Quelle</t>
  </si>
  <si>
    <t>Basic Preis</t>
  </si>
  <si>
    <t>EUR / Monat</t>
  </si>
  <si>
    <t>Öffentliche Preisseite</t>
  </si>
  <si>
    <t>Basic enthaltene Nachrichten</t>
  </si>
  <si>
    <t>Nachrichten / Monat</t>
  </si>
  <si>
    <t>Basic Overage-Preis</t>
  </si>
  <si>
    <t>EUR / zusätzliche Nachricht</t>
  </si>
  <si>
    <t>Business Preis</t>
  </si>
  <si>
    <t>Business enthaltene Nachrichten</t>
  </si>
  <si>
    <t>Business Overage-Preis</t>
  </si>
  <si>
    <t>Professional Preis</t>
  </si>
  <si>
    <t>Professional enthaltene Nachrichten</t>
  </si>
  <si>
    <t>Professional Overage-Preis</t>
  </si>
  <si>
    <t>Enterprise Preis</t>
  </si>
  <si>
    <t>Individuell</t>
  </si>
  <si>
    <t>Enterprise-Preis nicht öffentlich</t>
  </si>
  <si>
    <t>Aktuelle Teamgröße</t>
  </si>
  <si>
    <t>Mitarbeitende</t>
  </si>
  <si>
    <t>Nutzerrecherche / Jobkontext</t>
  </si>
  <si>
    <t>Annahmen (blaue Zellen bearbeiten)</t>
  </si>
  <si>
    <t>Kategorie</t>
  </si>
  <si>
    <t>Annahme</t>
  </si>
  <si>
    <t>Basisfall</t>
  </si>
  <si>
    <t>Kommentar</t>
  </si>
  <si>
    <t>Steuerung</t>
  </si>
  <si>
    <t>Aktives Enterprise-Szenario</t>
  </si>
  <si>
    <t>Basis</t>
  </si>
  <si>
    <t>Text</t>
  </si>
  <si>
    <t>Auswahl „Konservativ / Basis / Aggressiv“ nur für die Präsentation</t>
  </si>
  <si>
    <t>Margenannahmen</t>
  </si>
  <si>
    <t>Basic Bruttomarge</t>
  </si>
  <si>
    <t>%</t>
  </si>
  <si>
    <t>Niedriger Tarif; Basisfall für AI-SaaS-Ökonomie</t>
  </si>
  <si>
    <t>Business Bruttomarge</t>
  </si>
  <si>
    <t>Kern-SMB-Tarif</t>
  </si>
  <si>
    <t>Professional Bruttomarge</t>
  </si>
  <si>
    <t>Höherwertiger Tarif mit stärkeren Paketökonomiken</t>
  </si>
  <si>
    <t>Enterprise Bruttomarge</t>
  </si>
  <si>
    <t>Individueller Tarif; potenziell geringere Serviceintensität durch ACV ausgeglichen</t>
  </si>
  <si>
    <t>Churn-Annahmen</t>
  </si>
  <si>
    <t>Basic monatlicher Churn</t>
  </si>
  <si>
    <t>Höherer Churn im niedrigeren Tarif erwartet</t>
  </si>
  <si>
    <t>Business monatlicher Churn</t>
  </si>
  <si>
    <t>Niedriger als Basic aufgrund besserer Passung</t>
  </si>
  <si>
    <t>Professional monatlicher Churn</t>
  </si>
  <si>
    <t>Höherwertiger Tarif</t>
  </si>
  <si>
    <t>Enterprise monatlicher Churn</t>
  </si>
  <si>
    <t>Strategische / sales-getriebene Retention</t>
  </si>
  <si>
    <t>CAC / Payback</t>
  </si>
  <si>
    <t>Basic CAC-Payback-Ziel</t>
  </si>
  <si>
    <t>Monate</t>
  </si>
  <si>
    <t>SMB-ähnlicher Benchmark</t>
  </si>
  <si>
    <t>Business CAC-Payback-Ziel</t>
  </si>
  <si>
    <t>Professional CAC-Payback-Ziel</t>
  </si>
  <si>
    <t>Höherwertig / sales-unterstützt</t>
  </si>
  <si>
    <t>Enterprise CAC-Payback-Ziel</t>
  </si>
  <si>
    <t>Höherwertig / sales-getrieben</t>
  </si>
  <si>
    <t>Basic illustrativer CAC als % des Maximums</t>
  </si>
  <si>
    <t>Konservativ modellierter Spend gegenüber maximalem Schwellenwert</t>
  </si>
  <si>
    <t>Business illustrativer CAC als % des Maximums</t>
  </si>
  <si>
    <t>Professional illustrativer CAC als % des Maximums</t>
  </si>
  <si>
    <t>Enterprise illustrativer CAC als % des Maximums</t>
  </si>
  <si>
    <t>Wachstumsannahmen</t>
  </si>
  <si>
    <t>Basic Startkunden</t>
  </si>
  <si>
    <t>Logos</t>
  </si>
  <si>
    <t>Nur angenommener Startwert</t>
  </si>
  <si>
    <t>Business Startkunden</t>
  </si>
  <si>
    <t>Professional Startkunden</t>
  </si>
  <si>
    <t>Enterprise Startkunden</t>
  </si>
  <si>
    <t>Basic Year 1 New Customer Growth</t>
  </si>
  <si>
    <t>Directional placeholder for first projection year</t>
  </si>
  <si>
    <t>Business Year 1 New Customer Growth</t>
  </si>
  <si>
    <t>Professional Year 1 New Customer Growth</t>
  </si>
  <si>
    <t>Enterprise Year 1 New Customer Growth</t>
  </si>
  <si>
    <t>Operating assumptions</t>
  </si>
  <si>
    <t>Leadership Loaded Annual Cost</t>
  </si>
  <si>
    <t>EUR / Jahr</t>
  </si>
  <si>
    <t>Fully loaded assumption</t>
  </si>
  <si>
    <t>Product / AI Loaded Annual Cost</t>
  </si>
  <si>
    <t>Marketing Loaded Annual Cost</t>
  </si>
  <si>
    <t>Sales Loaded Annual Cost</t>
  </si>
  <si>
    <t>Customer Success Loaded Annual Cost</t>
  </si>
  <si>
    <t>Base Monthly Non-Payroll OpEx</t>
  </si>
  <si>
    <t>Software, legal, admin, office, misc</t>
  </si>
  <si>
    <t>Annual Non-Payroll OpEx Growth</t>
  </si>
  <si>
    <t>Escalation for overhead</t>
  </si>
  <si>
    <t>Valuation assumptions</t>
  </si>
  <si>
    <t>Low ARR Multiple</t>
  </si>
  <si>
    <t>x</t>
  </si>
  <si>
    <t>Sensitivity floor</t>
  </si>
  <si>
    <t>Base ARR Multiple</t>
  </si>
  <si>
    <t>Sensitivity midpoint</t>
  </si>
  <si>
    <t>High ARR Multiple</t>
  </si>
  <si>
    <t>Sensitivity upside</t>
  </si>
  <si>
    <t>Annual New Customer Growth Schedule</t>
  </si>
  <si>
    <t>Tarif</t>
  </si>
  <si>
    <t>Basic</t>
  </si>
  <si>
    <t>Business</t>
  </si>
  <si>
    <t>Professional</t>
  </si>
  <si>
    <t>Enterprise</t>
  </si>
  <si>
    <t>Annual Expansion Rate on Starting ARR</t>
  </si>
  <si>
    <t>Expansion %</t>
  </si>
  <si>
    <t>Current Team Counts</t>
  </si>
  <si>
    <t>Role</t>
  </si>
  <si>
    <t>Count</t>
  </si>
  <si>
    <t>Leadership</t>
  </si>
  <si>
    <t>Product / AI</t>
  </si>
  <si>
    <t>Marketing</t>
  </si>
  <si>
    <t>Sales</t>
  </si>
  <si>
    <t>Customer Success</t>
  </si>
  <si>
    <t>Operating Growth Controls</t>
  </si>
  <si>
    <t>Annual Payroll Growth</t>
  </si>
  <si>
    <t>Applied after first projection year</t>
  </si>
  <si>
    <t>Annual ARPA Growth Schedule</t>
  </si>
  <si>
    <t>Annual Churn Factor vs Base Monthly Churn</t>
  </si>
  <si>
    <t>Annual CAC Factor vs Illustrative CAC</t>
  </si>
  <si>
    <t>Annual Upgrade / Upsell Overlay on Starting ARR</t>
  </si>
  <si>
    <t>Capacity Model Controls</t>
  </si>
  <si>
    <t>Capacity assumptions</t>
  </si>
  <si>
    <t>Annual New Logos per Sales Rep</t>
  </si>
  <si>
    <t>logos / rep / year</t>
  </si>
  <si>
    <t>Blended annual capacity for sales-assisted new logos</t>
  </si>
  <si>
    <t>Basic Sales Touch Weight</t>
  </si>
  <si>
    <t>Share of Basic new logos needing meaningful sales assistance</t>
  </si>
  <si>
    <t>Business Sales Touch Weight</t>
  </si>
  <si>
    <t>Share of Business new logos needing meaningful sales assistance</t>
  </si>
  <si>
    <t>Professional Sales Touch Weight</t>
  </si>
  <si>
    <t>Most Professional new logos treated as sales-assisted</t>
  </si>
  <si>
    <t>Enterprise Sales Touch Weight</t>
  </si>
  <si>
    <t>Enterprise assumed fully sales-led</t>
  </si>
  <si>
    <t>Weighted Active Logos per CS Manager</t>
  </si>
  <si>
    <t>weighted logos / CSM</t>
  </si>
  <si>
    <t>Capacity benchmark for post-sales coverage</t>
  </si>
  <si>
    <t>Basic CS Weight</t>
  </si>
  <si>
    <t>Low-touch support requirement</t>
  </si>
  <si>
    <t>Business CS Weight</t>
  </si>
  <si>
    <t>Moderate touch requirement</t>
  </si>
  <si>
    <t>Professional CS Weight</t>
  </si>
  <si>
    <t>Full weighted logo</t>
  </si>
  <si>
    <t>Enterprise CS Weight</t>
  </si>
  <si>
    <t>High-touch strategic account weighting</t>
  </si>
  <si>
    <t>homie Eingaben</t>
  </si>
  <si>
    <t>Öffentliche kommerzielle Eingabeschicht zur Verankerung von Preisen, Nutzung, Overages und dem anfänglichen Kundenmix.</t>
  </si>
  <si>
    <t>Abschnitt A — Preise je Tarif</t>
  </si>
  <si>
    <t>Monatlicher Preis (€)</t>
  </si>
  <si>
    <t>Jährlicher Basis-ARR (€)</t>
  </si>
  <si>
    <t>Quelle / Hinweise</t>
  </si>
  <si>
    <t>https://yourhomie.ai/preise</t>
  </si>
  <si>
    <t>Custom pricing; annual ACV modeled below</t>
  </si>
  <si>
    <t>Abschnitt B — enthaltene Nutzung und Overages</t>
  </si>
  <si>
    <t>Enthaltene Nachrichten</t>
  </si>
  <si>
    <t>Overage-Preis (€)</t>
  </si>
  <si>
    <t>Custom usage / pricing</t>
  </si>
  <si>
    <t>Abschnitt C — kommerzielle Rolle jedes Tarifs</t>
  </si>
  <si>
    <t>Wahrscheinliche GTM-Rolle</t>
  </si>
  <si>
    <t>Niedrigschwelliger Einstieg</t>
  </si>
  <si>
    <t>Kleinere Händler / von Test zu Paid</t>
  </si>
  <si>
    <t>Höhere SMB-Nutzungsabsicht</t>
  </si>
  <si>
    <t>Wichtigster Wachstumstarif</t>
  </si>
  <si>
    <t>Sales-unterstützt / stärkster sichtbarer Wert</t>
  </si>
  <si>
    <t>Strategische Accounts</t>
  </si>
  <si>
    <t>Individueller Hebel für Upsell und Expansion</t>
  </si>
  <si>
    <t>Abschnitt D — Annahmen zum Overage-Uplift</t>
  </si>
  <si>
    <t>Monatlicher Basispreis (€)</t>
  </si>
  <si>
    <t>Overage-Umsatz-Uplift %</t>
  </si>
  <si>
    <t>Effektiver monatlicher ARPA (€)</t>
  </si>
  <si>
    <t>Effektiv annualisierter ARR (€)</t>
  </si>
  <si>
    <t>Hinweis</t>
  </si>
  <si>
    <t>Platzhalterannahme</t>
  </si>
  <si>
    <t>Enterprise-ACV-Abschnitt unten verwenden</t>
  </si>
  <si>
    <t>Abschnitt E — anfängliche Kundenzahlen (Platzhalter für den Basisfall)</t>
  </si>
  <si>
    <t>Startkunden</t>
  </si>
  <si>
    <t>Abschnitt F — Enterprise-ACV-Szenarien</t>
  </si>
  <si>
    <t>Szenario</t>
  </si>
  <si>
    <t>Enterprise ACV (€ / Jahr)</t>
  </si>
  <si>
    <t>Monatliches Äquivalent (€)</t>
  </si>
  <si>
    <t>Konservativ</t>
  </si>
  <si>
    <t>Scenario input</t>
  </si>
  <si>
    <t>Primary base case</t>
  </si>
  <si>
    <t>Aggressiv</t>
  </si>
  <si>
    <t>Section G — Modeling notes</t>
  </si>
  <si>
    <t>•</t>
  </si>
  <si>
    <t>Basic and Business are treated as acquisition / lower-friction entry layers.</t>
  </si>
  <si>
    <t>Professional is treated as the primary growth and efficiency tier.</t>
  </si>
  <si>
    <t>Enterprise is treated as the high-value upsell and valuation lever.</t>
  </si>
  <si>
    <t>These are public-information anchors plus transparent placeholder assumptions, not claims about homie internal data.</t>
  </si>
  <si>
    <t>Unit Economics je Tarif</t>
  </si>
  <si>
    <t>Basis-MRR</t>
  </si>
  <si>
    <t>Overage-Uplift %</t>
  </si>
  <si>
    <t>Effektive MRR</t>
  </si>
  <si>
    <t>Monatlicher Bruttogewinn</t>
  </si>
  <si>
    <t>Monatlicher Churn</t>
  </si>
  <si>
    <t>Laufzeit (Monate)</t>
  </si>
  <si>
    <t>LTV</t>
  </si>
  <si>
    <t>Ziel-CAC-Payback (Monate)</t>
  </si>
  <si>
    <t>Max. CAC</t>
  </si>
  <si>
    <t>Illustrativer CAC</t>
  </si>
  <si>
    <t>5-Jahres-Projektion (Basisfall, jährlich, nach Tarif)</t>
  </si>
  <si>
    <t>ARR nach Tarif</t>
  </si>
  <si>
    <t>Basic Logo-Brücke</t>
  </si>
  <si>
    <t>Start-Logos</t>
  </si>
  <si>
    <t>Wachstumsrate</t>
  </si>
  <si>
    <t>Neue Logos</t>
  </si>
  <si>
    <t>Abgewanderte Logos</t>
  </si>
  <si>
    <t>Total ARR</t>
  </si>
  <si>
    <t>End-Logos</t>
  </si>
  <si>
    <t>Business Logo-Brücke</t>
  </si>
  <si>
    <t>ARR-Mix nach Tarif</t>
  </si>
  <si>
    <t>Basic %</t>
  </si>
  <si>
    <t>Business %</t>
  </si>
  <si>
    <t>Professional %</t>
  </si>
  <si>
    <t>Enterprise %</t>
  </si>
  <si>
    <t>Gesamt</t>
  </si>
  <si>
    <t>Professional Logo-Brücke</t>
  </si>
  <si>
    <t>Enterprise Logo-Brücke</t>
  </si>
  <si>
    <t>Reifegrad-Hilfsschema</t>
  </si>
  <si>
    <t>ARR / Logo - Basic</t>
  </si>
  <si>
    <t>ARR / Logo - Business</t>
  </si>
  <si>
    <t>ARR / Logo - Professional</t>
  </si>
  <si>
    <t>ARR / Logo - Enterprise</t>
  </si>
  <si>
    <t>Jährlicher Churn - Basic</t>
  </si>
  <si>
    <t>Jährlicher Churn - Business</t>
  </si>
  <si>
    <t>Jährlicher Churn - Professional</t>
  </si>
  <si>
    <t>Jährlicher Churn - Enterprise</t>
  </si>
  <si>
    <t>ARR-Zusammenfassung</t>
  </si>
  <si>
    <t>Start-ARR</t>
  </si>
  <si>
    <t>Neuer ARR</t>
  </si>
  <si>
    <t>Expansion-ARR</t>
  </si>
  <si>
    <t>Verlorener ARR</t>
  </si>
  <si>
    <t>End-ARR</t>
  </si>
  <si>
    <t>Gemischte Bruttomarge %</t>
  </si>
  <si>
    <t>Bruttogewinn</t>
  </si>
  <si>
    <t>Sales- &amp; Marketing-Ausgaben</t>
  </si>
  <si>
    <t>Kapazitäts-Overlay</t>
  </si>
  <si>
    <t>Sales-berührte neue Logos</t>
  </si>
  <si>
    <t>Erforderliche Sales-Reps</t>
  </si>
  <si>
    <t>Gewichtete aktive Logos für CS</t>
  </si>
  <si>
    <t>Erforderliche CS-Manager</t>
  </si>
  <si>
    <t>Kapazitätsbereinigte Personalkosten</t>
  </si>
  <si>
    <t>Sonstige OpEx</t>
  </si>
  <si>
    <t>Net Burn</t>
  </si>
  <si>
    <t>Bewertung @ 8,0x</t>
  </si>
  <si>
    <t>Bewertung @ 10,0x</t>
  </si>
  <si>
    <t>Bewertung @ 12,0x</t>
  </si>
  <si>
    <t>Qualitätschecks</t>
  </si>
  <si>
    <t>Net New ARR positiv?</t>
  </si>
  <si>
    <t>ARR wächst?</t>
  </si>
  <si>
    <t>Bruttomarge über 75 %?</t>
  </si>
  <si>
    <t>Burn Multiple unter 2,0x?</t>
  </si>
  <si>
    <t>Sales-Team-Bedarf über aktuellem Stand?</t>
  </si>
  <si>
    <t>homie Wachstumsmodell-Dashboard</t>
  </si>
  <si>
    <t>SaaS-Wachstumsmodell im Basisfall, aufgebaut auf öffentlichen Preisen, transparenten Annahmen, Reifegradlogik und leichter Kapazitätsplanung</t>
  </si>
  <si>
    <t>ARR (2030)</t>
  </si>
  <si>
    <t>ARR-Wachstum % (2030)</t>
  </si>
  <si>
    <t>Net New ARR (2030)</t>
  </si>
  <si>
    <t>Bruttomarge % (2030)</t>
  </si>
  <si>
    <t>Burn Multiple (2030)</t>
  </si>
  <si>
    <t>Bewertungssensitivität (2030)</t>
  </si>
  <si>
    <t>10x ARR</t>
  </si>
  <si>
    <t>12x ARR</t>
  </si>
  <si>
    <t>Jährlicher wiederkehrender Umsatz im Basisfall</t>
  </si>
  <si>
    <t>Jährliches Wachstum des wiederkehrenden Umsatzes</t>
  </si>
  <si>
    <t>Neuer ARR nach Churn-Belastung</t>
  </si>
  <si>
    <t>Umsatz nach Leistungserbringungskosten</t>
  </si>
  <si>
    <t>Net Burn ÷ Net New ARR</t>
  </si>
  <si>
    <t>Sensitivitätsspanne von 8x–12x ARR</t>
  </si>
  <si>
    <t>Wachstumstreiber</t>
  </si>
  <si>
    <t>ARR nach Jahr</t>
  </si>
  <si>
    <t>ARR nach Tarif (2030)</t>
  </si>
  <si>
    <t>Wachstumstreiber (2030)</t>
  </si>
  <si>
    <t>Neuer Logo-ARR</t>
  </si>
  <si>
    <t>Der Wachstumstreiber zeigt, wie ARR durch Neukundengewinnung, Expansion und Churn wächst. Professional und Enterprise treiben im Basisfall den größten Teil der Wertdichte.</t>
  </si>
  <si>
    <t>Was treibt das Wachstum?</t>
  </si>
  <si>
    <t>• Professional ist im Basisfall der wichtigste Wachstumstarif.
• Enterprise erhöht Umsatzdichte und Bewertungspotenzial.
• Niedrigere Tarife verbreitern die Akquise, haben aber schwächere Retention-Ökonomiken.</t>
  </si>
  <si>
    <t>Payback Months</t>
  </si>
  <si>
    <t>Interpretation</t>
  </si>
  <si>
    <t>Professional scheint die beste Balance aus Skalierung, Payback und Retention zu bieten. Enterprise ist strategisch am wertvollsten, erfordert aber vermutlich mehr Sales- und Onboarding-Unterstützung.</t>
  </si>
  <si>
    <t>Retention und Expansion</t>
  </si>
  <si>
    <t>Brutto-ARR-Churn (2030)</t>
  </si>
  <si>
    <t>NDR / NRR (2030)</t>
  </si>
  <si>
    <t>Umsatzleckage vor Expansion</t>
  </si>
  <si>
    <t>Nach Expansion gehaltener Umsatz</t>
  </si>
  <si>
    <t>Retention-Qualität zählt</t>
  </si>
  <si>
    <t>• Hohes Wachstum ohne Retention wird teuer.
• Nutzungsbasierte Expansion und Upgrades verbessern die langfristige ARR-Qualität.
• Post-Sales-Erfolg ist daher in AI-SaaS nicht optional.</t>
  </si>
  <si>
    <t>Kapazitäts-Realitätscheck</t>
  </si>
  <si>
    <t>Erforderliche Sales-Reps (2030)</t>
  </si>
  <si>
    <t>Erforderliche CS-Manager (2030)</t>
  </si>
  <si>
    <t>Kapazitätsbereinigte Personalkosten (2030)</t>
  </si>
  <si>
    <t>Kapazitätsindikator (2030)</t>
  </si>
  <si>
    <t>Kapazität zur Unterstützung sales-berührter Nachfrage</t>
  </si>
  <si>
    <t>Kapazität zur Unterstützung der aktiven Kundenbasis</t>
  </si>
  <si>
    <t>Personalkosten nach Sales-/CS-Kapazitätsbedarf</t>
  </si>
  <si>
    <t>Vergleicht den erforderlichen Sales-/CS-Bedarf mit dem aktuellen Team-Baseline</t>
  </si>
  <si>
    <t>Kapazitätsgrenze</t>
  </si>
  <si>
    <t>• Paid Acquisition kann nicht unabhängig von Sales-Durchsatz und Customer-Success-Kapazität skalieren.
• Das ist besonders relevant für die aktuelle Teamgröße von homie.</t>
  </si>
  <si>
    <t>Sales- &amp; Marketing-Ausgaben (2030)</t>
  </si>
  <si>
    <t>Net Burn (2030)</t>
  </si>
  <si>
    <t>Effizienz-Hinweis</t>
  </si>
  <si>
    <t>Die Burn Multiple verbessert sich, wenn ARR schneller wächst als die operativen Kosten. Frühe Effizienzgewinne werden durch CAC-Reife und steigenden Kundenwert getrieben.</t>
  </si>
  <si>
    <t>Jährliche Akquisitionsausgaben</t>
  </si>
  <si>
    <t>Wachstumsinvestition nach Bruttogewinn</t>
  </si>
  <si>
    <t>Illustrative Bewertungssensitivität</t>
  </si>
  <si>
    <t>Jahr</t>
  </si>
  <si>
    <t>8x ARR</t>
  </si>
  <si>
    <t>Valuation note</t>
  </si>
  <si>
    <t>Dies ist keine Bewertungsprognose. Es ist eine Sensitivitätsansicht, die zeigt, was unterschiedliche ARR-Multiple-Umfelder implizieren könnten, wenn Wachstum, Retention und Margenqualität dies stützen.</t>
  </si>
  <si>
    <t>Wichtigste Erkenntnisse</t>
  </si>
  <si>
    <t>Executive Interpretation</t>
  </si>
  <si>
    <t>• Das effizienteste Wachstum von homie dürfte aus einem hybriden GTM-Ansatz kommen, nicht aus reinem Self-Serve oder reinem Enterprise.
• Professional scheint der stärkste wirtschaftliche Anker-Tarif zu sein.
• Enterprise verbessert die ARR-Dichte deutlich, erfordert aber mehr Sales- und Post-Sales-Kapazität.
• Die größten Hebel sind bessere Retention, Expansion und disziplinierte CAC-Effizienz statt bloßem Lead-Volumen.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</si>
</sst>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€#,##0"/>
    <numFmt numFmtId="165" formatCode="0.0%"/>
    <numFmt numFmtId="166" formatCode="#,##0;[Red]\(#,##0\);\-"/>
    <numFmt numFmtId="167" formatCode="\€#,##0;[Red]&quot;(€&quot;#,##0\);\-"/>
    <numFmt numFmtId="168" formatCode="0.0\x"/>
    <numFmt numFmtId="169" formatCode="#,##0.0"/>
    <numFmt numFmtId="170" formatCode="\€0.00"/>
    <numFmt numFmtId="171" formatCode="\€#,##0.00;[Red]&quot;(€&quot;#,##0.00\);\-"/>
    <numFmt numFmtId="172" formatCode="\€#,##0.00"/>
    <numFmt numFmtId="173" formatCode="0.0"/>
    <numFmt numFmtId="174" formatCode="\€#,##0_);[Red]&quot;(€&quot;#,##0\)"/>
  </numFmts>
  <fonts count="44" x14ac:knownFonts="1">
    <font>
      <sz val="10"/>
      <name val="Arial"/>
      <family val="2"/>
      <charset val="1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  <charset val="1"/>
    </font>
    <font>
      <b/>
      <sz val="14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8"/>
      <color rgb="FF1F1F1F"/>
      <name val="Cambria"/>
      <family val="1"/>
    </font>
    <font>
      <b/>
      <sz val="14"/>
      <name val="Century Gothic"/>
      <family val="2"/>
      <scheme val="minor"/>
    </font>
    <font>
      <sz val="10"/>
      <name val="Century Gothic"/>
      <family val="2"/>
      <scheme val="minor"/>
    </font>
    <font>
      <b/>
      <sz val="10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11"/>
      <color rgb="FFFFFFFF"/>
      <name val="Century Gothic"/>
      <family val="2"/>
      <scheme val="minor"/>
    </font>
    <font>
      <b/>
      <sz val="9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9"/>
      <color rgb="FFFFFFFF"/>
      <name val="Century Gothic"/>
      <family val="2"/>
      <scheme val="minor"/>
    </font>
    <font>
      <i/>
      <sz val="10"/>
      <color rgb="FF666666"/>
      <name val="Century Gothic"/>
      <family val="2"/>
      <scheme val="minor"/>
    </font>
    <font>
      <b/>
      <sz val="10"/>
      <color rgb="FFFFFFFF"/>
      <name val="Century Gothic"/>
      <family val="2"/>
      <scheme val="minor"/>
    </font>
    <font>
      <b/>
      <sz val="16"/>
      <color rgb="FF1F1F1F"/>
      <name val="Century Gothic"/>
      <family val="2"/>
      <scheme val="minor"/>
    </font>
    <font>
      <b/>
      <sz val="9"/>
      <color rgb="FF1F1F1F"/>
      <name val="Century Gothic"/>
      <family val="2"/>
      <scheme val="minor"/>
    </font>
    <font>
      <b/>
      <sz val="12"/>
      <color rgb="FF1F1F1F"/>
      <name val="Century Gothic"/>
      <family val="2"/>
      <scheme val="minor"/>
    </font>
    <font>
      <i/>
      <sz val="8"/>
      <color rgb="FF666666"/>
      <name val="Century Gothic"/>
      <family val="2"/>
      <scheme val="minor"/>
    </font>
    <font>
      <b/>
      <sz val="11"/>
      <color rgb="FF1F1F1F"/>
      <name val="Century Gothic"/>
      <family val="2"/>
      <scheme val="minor"/>
    </font>
    <font>
      <sz val="11"/>
      <color rgb="FF1F1F1F"/>
      <name val="Century Gothic"/>
      <family val="2"/>
      <scheme val="minor"/>
    </font>
    <font>
      <b/>
      <sz val="10"/>
      <color rgb="FF1F1F1F"/>
      <name val="Century Gothic"/>
      <family val="2"/>
      <scheme val="minor"/>
    </font>
    <font>
      <sz val="9"/>
      <color rgb="FF1F1F1F"/>
      <name val="Century Gothic"/>
      <family val="2"/>
      <scheme val="minor"/>
    </font>
    <font>
      <sz val="9"/>
      <name val="Century Gothic"/>
      <family val="2"/>
      <scheme val="minor"/>
    </font>
    <font>
      <b/>
      <sz val="12"/>
      <color rgb="FFFFFFFF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name val="Century Gothic"/>
      <family val="2"/>
      <scheme val="major"/>
    </font>
    <font>
      <sz val="11"/>
      <color theme="1"/>
      <name val="Century Gothic"/>
      <family val="2"/>
      <scheme val="major"/>
    </font>
    <font>
      <b/>
      <sz val="10"/>
      <name val="Century Gothic"/>
      <family val="2"/>
      <scheme val="major"/>
    </font>
    <font>
      <sz val="10"/>
      <color theme="1"/>
      <name val="Century Gothic"/>
      <family val="2"/>
      <scheme val="major"/>
    </font>
    <font>
      <sz val="9"/>
      <color theme="1"/>
      <name val="Century Gothic"/>
      <family val="2"/>
      <scheme val="major"/>
    </font>
    <font>
      <sz val="9"/>
      <color rgb="FF0000FF"/>
      <name val="Century Gothic"/>
      <family val="2"/>
      <scheme val="major"/>
    </font>
    <font>
      <sz val="9"/>
      <color rgb="FF000000"/>
      <name val="Century Gothic"/>
      <family val="2"/>
      <scheme val="major"/>
    </font>
    <font>
      <b/>
      <sz val="9"/>
      <color rgb="FFFFFFFF"/>
      <name val="Century Gothic"/>
      <family val="2"/>
      <scheme val="major"/>
    </font>
    <font>
      <sz val="9"/>
      <name val="Century Gothic"/>
      <family val="2"/>
      <scheme val="major"/>
    </font>
    <font>
      <b/>
      <sz val="9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b/>
      <sz val="12"/>
      <color theme="0"/>
      <name val="Century Gothic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EAF7"/>
      </patternFill>
    </fill>
    <fill>
      <patternFill patternType="solid">
        <fgColor rgb="FFFFF2CC"/>
        <bgColor rgb="FFF3F4F6"/>
      </patternFill>
    </fill>
    <fill>
      <patternFill patternType="solid">
        <fgColor rgb="FFBDD7EE"/>
        <bgColor rgb="FFD0D7DE"/>
      </patternFill>
    </fill>
    <fill>
      <patternFill patternType="solid">
        <fgColor rgb="FFE4DFEC"/>
        <bgColor rgb="FFD9E2F3"/>
      </patternFill>
    </fill>
    <fill>
      <patternFill patternType="solid">
        <fgColor rgb="FFD9EAF7"/>
        <bgColor rgb="FFD9E2F3"/>
      </patternFill>
    </fill>
    <fill>
      <patternFill patternType="solid">
        <fgColor rgb="FFE2F0D9"/>
        <bgColor rgb="FFEAF3F8"/>
      </patternFill>
    </fill>
    <fill>
      <patternFill patternType="solid">
        <fgColor rgb="FFEAF3F8"/>
        <bgColor rgb="FFF3F4F6"/>
      </patternFill>
    </fill>
    <fill>
      <patternFill patternType="solid">
        <fgColor rgb="FFF3F4F6"/>
        <bgColor rgb="FFEAF3F8"/>
      </patternFill>
    </fill>
    <fill>
      <patternFill patternType="solid">
        <fgColor rgb="FFFFFFFF"/>
        <bgColor rgb="FFF3F4F6"/>
      </patternFill>
    </fill>
    <fill>
      <patternFill patternType="solid">
        <fgColor rgb="FFE6FFFB"/>
        <bgColor rgb="FFEAF3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F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D9D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40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3" borderId="1" xfId="0" applyFont="1" applyFill="1" applyBorder="1" applyAlignment="1"/>
    <xf numFmtId="0" fontId="8" fillId="0" borderId="1" xfId="0" applyFont="1" applyBorder="1" applyAlignment="1"/>
    <xf numFmtId="0" fontId="9" fillId="4" borderId="1" xfId="0" applyFont="1" applyFill="1" applyBorder="1" applyAlignment="1"/>
    <xf numFmtId="165" fontId="9" fillId="4" borderId="1" xfId="0" applyNumberFormat="1" applyFont="1" applyFill="1" applyBorder="1" applyAlignment="1"/>
    <xf numFmtId="166" fontId="9" fillId="4" borderId="1" xfId="0" applyNumberFormat="1" applyFont="1" applyFill="1" applyBorder="1" applyAlignment="1"/>
    <xf numFmtId="167" fontId="9" fillId="4" borderId="1" xfId="0" applyNumberFormat="1" applyFont="1" applyFill="1" applyBorder="1" applyAlignment="1"/>
    <xf numFmtId="168" fontId="9" fillId="4" borderId="1" xfId="0" applyNumberFormat="1" applyFont="1" applyFill="1" applyBorder="1" applyAlignment="1"/>
    <xf numFmtId="0" fontId="7" fillId="5" borderId="0" xfId="0" applyFont="1" applyFill="1" applyAlignment="1"/>
    <xf numFmtId="165" fontId="6" fillId="0" borderId="0" xfId="0" applyNumberFormat="1" applyFont="1" applyAlignment="1"/>
    <xf numFmtId="169" fontId="9" fillId="4" borderId="1" xfId="0" applyNumberFormat="1" applyFont="1" applyFill="1" applyBorder="1" applyAlignment="1"/>
    <xf numFmtId="0" fontId="6" fillId="13" borderId="0" xfId="0" applyFont="1" applyFill="1" applyAlignment="1"/>
    <xf numFmtId="0" fontId="7" fillId="14" borderId="1" xfId="0" applyFont="1" applyFill="1" applyBorder="1" applyAlignment="1"/>
    <xf numFmtId="0" fontId="2" fillId="0" borderId="0" xfId="0" applyFont="1" applyAlignment="1"/>
    <xf numFmtId="0" fontId="0" fillId="0" borderId="0" xfId="0" applyAlignment="1"/>
    <xf numFmtId="0" fontId="5" fillId="2" borderId="0" xfId="0" applyFont="1" applyFill="1" applyAlignment="1"/>
    <xf numFmtId="0" fontId="2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vertical="top" wrapText="1"/>
    </xf>
    <xf numFmtId="0" fontId="1" fillId="0" borderId="0" xfId="0" applyFont="1" applyAlignment="1"/>
    <xf numFmtId="0" fontId="17" fillId="0" borderId="0" xfId="0" applyFont="1" applyAlignment="1"/>
    <xf numFmtId="0" fontId="19" fillId="0" borderId="0" xfId="0" applyFont="1" applyAlignment="1"/>
    <xf numFmtId="0" fontId="20" fillId="2" borderId="4" xfId="0" applyFont="1" applyFill="1" applyBorder="1" applyAlignment="1">
      <alignment horizontal="center" vertical="center"/>
    </xf>
    <xf numFmtId="0" fontId="12" fillId="0" borderId="7" xfId="0" applyFont="1" applyBorder="1"/>
    <xf numFmtId="0" fontId="20" fillId="2" borderId="4" xfId="0" applyFont="1" applyFill="1" applyBorder="1" applyAlignment="1">
      <alignment horizontal="center"/>
    </xf>
    <xf numFmtId="0" fontId="12" fillId="0" borderId="8" xfId="0" applyFont="1" applyBorder="1"/>
    <xf numFmtId="164" fontId="21" fillId="9" borderId="4" xfId="0" applyNumberFormat="1" applyFont="1" applyFill="1" applyBorder="1" applyAlignment="1">
      <alignment horizontal="center" vertical="center" wrapText="1"/>
    </xf>
    <xf numFmtId="0" fontId="12" fillId="0" borderId="6" xfId="0" applyFont="1" applyBorder="1"/>
    <xf numFmtId="165" fontId="21" fillId="9" borderId="4" xfId="0" applyNumberFormat="1" applyFont="1" applyFill="1" applyBorder="1" applyAlignment="1">
      <alignment horizontal="center" vertical="center" wrapText="1"/>
    </xf>
    <xf numFmtId="168" fontId="21" fillId="9" borderId="4" xfId="0" applyNumberFormat="1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/>
    </xf>
    <xf numFmtId="0" fontId="12" fillId="0" borderId="11" xfId="0" applyFont="1" applyBorder="1"/>
    <xf numFmtId="0" fontId="12" fillId="0" borderId="12" xfId="0" applyFont="1" applyBorder="1"/>
    <xf numFmtId="164" fontId="23" fillId="9" borderId="4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/>
    </xf>
    <xf numFmtId="0" fontId="15" fillId="2" borderId="4" xfId="0" applyFont="1" applyFill="1" applyBorder="1" applyAlignment="1">
      <alignment horizontal="left" vertical="center"/>
    </xf>
    <xf numFmtId="0" fontId="25" fillId="11" borderId="4" xfId="0" applyFont="1" applyFill="1" applyBorder="1" applyAlignment="1">
      <alignment horizontal="center"/>
    </xf>
    <xf numFmtId="164" fontId="26" fillId="11" borderId="4" xfId="0" applyNumberFormat="1" applyFont="1" applyFill="1" applyBorder="1" applyAlignment="1">
      <alignment horizontal="center"/>
    </xf>
    <xf numFmtId="0" fontId="27" fillId="10" borderId="4" xfId="0" applyFont="1" applyFill="1" applyBorder="1" applyAlignment="1">
      <alignment horizontal="left" vertical="top" wrapText="1"/>
    </xf>
    <xf numFmtId="0" fontId="12" fillId="0" borderId="5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3" xfId="0" applyFont="1" applyBorder="1"/>
    <xf numFmtId="0" fontId="27" fillId="10" borderId="4" xfId="0" applyFont="1" applyFill="1" applyBorder="1" applyAlignment="1">
      <alignment horizontal="left" vertical="center"/>
    </xf>
    <xf numFmtId="0" fontId="28" fillId="10" borderId="4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center"/>
    </xf>
    <xf numFmtId="165" fontId="26" fillId="11" borderId="4" xfId="0" applyNumberFormat="1" applyFont="1" applyFill="1" applyBorder="1" applyAlignment="1">
      <alignment horizontal="center"/>
    </xf>
    <xf numFmtId="168" fontId="26" fillId="11" borderId="4" xfId="0" applyNumberFormat="1" applyFont="1" applyFill="1" applyBorder="1" applyAlignment="1">
      <alignment horizontal="center"/>
    </xf>
    <xf numFmtId="1" fontId="26" fillId="11" borderId="4" xfId="0" applyNumberFormat="1" applyFont="1" applyFill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164" fontId="25" fillId="12" borderId="4" xfId="0" applyNumberFormat="1" applyFont="1" applyFill="1" applyBorder="1" applyAlignment="1">
      <alignment horizontal="center"/>
    </xf>
    <xf numFmtId="165" fontId="25" fillId="12" borderId="4" xfId="0" applyNumberFormat="1" applyFont="1" applyFill="1" applyBorder="1" applyAlignment="1">
      <alignment horizontal="center"/>
    </xf>
    <xf numFmtId="168" fontId="25" fillId="12" borderId="4" xfId="0" applyNumberFormat="1" applyFont="1" applyFill="1" applyBorder="1" applyAlignment="1">
      <alignment horizontal="center"/>
    </xf>
    <xf numFmtId="1" fontId="25" fillId="12" borderId="4" xfId="0" applyNumberFormat="1" applyFont="1" applyFill="1" applyBorder="1" applyAlignment="1">
      <alignment horizontal="center"/>
    </xf>
    <xf numFmtId="1" fontId="21" fillId="9" borderId="4" xfId="0" applyNumberFormat="1" applyFont="1" applyFill="1" applyBorder="1" applyAlignment="1">
      <alignment horizontal="center" vertical="center" wrapText="1"/>
    </xf>
    <xf numFmtId="0" fontId="29" fillId="0" borderId="0" xfId="0" applyFont="1" applyAlignment="1"/>
    <xf numFmtId="0" fontId="16" fillId="5" borderId="0" xfId="0" applyFont="1" applyFill="1" applyAlignment="1"/>
    <xf numFmtId="0" fontId="18" fillId="2" borderId="0" xfId="0" applyFont="1" applyFill="1" applyAlignment="1">
      <alignment horizontal="center"/>
    </xf>
    <xf numFmtId="0" fontId="16" fillId="0" borderId="2" xfId="0" applyFont="1" applyBorder="1" applyAlignment="1"/>
    <xf numFmtId="167" fontId="17" fillId="0" borderId="2" xfId="0" applyNumberFormat="1" applyFont="1" applyBorder="1" applyAlignment="1"/>
    <xf numFmtId="3" fontId="17" fillId="0" borderId="0" xfId="0" applyNumberFormat="1" applyFont="1" applyAlignment="1"/>
    <xf numFmtId="165" fontId="17" fillId="0" borderId="0" xfId="0" applyNumberFormat="1" applyFont="1" applyAlignment="1"/>
    <xf numFmtId="0" fontId="16" fillId="7" borderId="2" xfId="0" applyFont="1" applyFill="1" applyBorder="1" applyAlignment="1"/>
    <xf numFmtId="167" fontId="17" fillId="7" borderId="2" xfId="0" applyNumberFormat="1" applyFont="1" applyFill="1" applyBorder="1" applyAlignment="1"/>
    <xf numFmtId="165" fontId="17" fillId="0" borderId="2" xfId="0" applyNumberFormat="1" applyFont="1" applyBorder="1" applyAlignment="1"/>
    <xf numFmtId="165" fontId="17" fillId="7" borderId="2" xfId="0" applyNumberFormat="1" applyFont="1" applyFill="1" applyBorder="1" applyAlignment="1"/>
    <xf numFmtId="174" fontId="16" fillId="5" borderId="0" xfId="0" applyNumberFormat="1" applyFont="1" applyFill="1" applyAlignment="1"/>
    <xf numFmtId="165" fontId="16" fillId="5" borderId="0" xfId="0" applyNumberFormat="1" applyFont="1" applyFill="1" applyAlignment="1"/>
    <xf numFmtId="174" fontId="17" fillId="0" borderId="0" xfId="0" applyNumberFormat="1" applyFont="1" applyAlignment="1"/>
    <xf numFmtId="0" fontId="16" fillId="0" borderId="3" xfId="0" applyFont="1" applyBorder="1" applyAlignment="1"/>
    <xf numFmtId="174" fontId="16" fillId="0" borderId="3" xfId="0" applyNumberFormat="1" applyFont="1" applyBorder="1" applyAlignment="1"/>
    <xf numFmtId="0" fontId="18" fillId="2" borderId="0" xfId="0" applyFont="1" applyFill="1" applyAlignment="1"/>
    <xf numFmtId="0" fontId="13" fillId="7" borderId="0" xfId="0" applyFont="1" applyFill="1" applyAlignment="1"/>
    <xf numFmtId="0" fontId="14" fillId="7" borderId="0" xfId="0" applyFont="1" applyFill="1" applyAlignment="1"/>
    <xf numFmtId="0" fontId="30" fillId="2" borderId="0" xfId="0" applyFont="1" applyFill="1" applyAlignment="1"/>
    <xf numFmtId="0" fontId="31" fillId="0" borderId="0" xfId="0" applyFont="1" applyAlignment="1"/>
    <xf numFmtId="0" fontId="20" fillId="2" borderId="0" xfId="0" applyFont="1" applyFill="1" applyAlignment="1"/>
    <xf numFmtId="172" fontId="14" fillId="0" borderId="0" xfId="0" applyNumberFormat="1" applyFont="1" applyAlignment="1"/>
    <xf numFmtId="165" fontId="14" fillId="0" borderId="0" xfId="0" applyNumberFormat="1" applyFont="1" applyAlignment="1"/>
    <xf numFmtId="173" fontId="14" fillId="0" borderId="0" xfId="0" applyNumberFormat="1" applyFont="1" applyAlignment="1"/>
    <xf numFmtId="1" fontId="14" fillId="0" borderId="0" xfId="0" applyNumberFormat="1" applyFont="1" applyAlignment="1"/>
    <xf numFmtId="168" fontId="14" fillId="0" borderId="0" xfId="0" applyNumberFormat="1" applyFont="1" applyAlignment="1"/>
    <xf numFmtId="0" fontId="32" fillId="0" borderId="0" xfId="0" applyFont="1" applyAlignment="1"/>
    <xf numFmtId="0" fontId="33" fillId="0" borderId="0" xfId="0" applyFont="1" applyAlignment="1"/>
    <xf numFmtId="0" fontId="37" fillId="0" borderId="0" xfId="0" applyFont="1" applyAlignment="1">
      <alignment vertical="top" wrapText="1"/>
    </xf>
    <xf numFmtId="0" fontId="36" fillId="0" borderId="0" xfId="0" applyFont="1" applyAlignment="1">
      <alignment horizontal="left" vertical="top" wrapText="1"/>
    </xf>
    <xf numFmtId="0" fontId="36" fillId="0" borderId="0" xfId="0" applyFont="1" applyAlignment="1">
      <alignment horizontal="left"/>
    </xf>
    <xf numFmtId="0" fontId="34" fillId="7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 vertical="top" wrapText="1"/>
    </xf>
    <xf numFmtId="171" fontId="37" fillId="0" borderId="0" xfId="0" applyNumberFormat="1" applyFont="1" applyAlignment="1">
      <alignment horizontal="left" vertical="top" wrapText="1"/>
    </xf>
    <xf numFmtId="171" fontId="38" fillId="0" borderId="0" xfId="0" applyNumberFormat="1" applyFont="1" applyAlignment="1">
      <alignment horizontal="left" vertical="top" wrapText="1"/>
    </xf>
    <xf numFmtId="171" fontId="36" fillId="0" borderId="0" xfId="0" applyNumberFormat="1" applyFont="1" applyAlignment="1">
      <alignment horizontal="left" vertical="top" wrapText="1"/>
    </xf>
    <xf numFmtId="164" fontId="37" fillId="0" borderId="0" xfId="0" applyNumberFormat="1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9" fillId="2" borderId="0" xfId="0" applyFont="1" applyFill="1" applyAlignment="1">
      <alignment horizontal="left" vertical="top" wrapText="1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 vertical="top" wrapText="1"/>
    </xf>
    <xf numFmtId="0" fontId="41" fillId="6" borderId="0" xfId="0" applyFont="1" applyFill="1" applyAlignment="1">
      <alignment horizontal="left" vertical="top" wrapText="1"/>
    </xf>
    <xf numFmtId="0" fontId="41" fillId="8" borderId="0" xfId="0" applyFont="1" applyFill="1" applyAlignment="1">
      <alignment horizontal="left" vertical="top" wrapText="1"/>
    </xf>
    <xf numFmtId="164" fontId="41" fillId="8" borderId="0" xfId="0" applyNumberFormat="1" applyFont="1" applyFill="1" applyAlignment="1">
      <alignment horizontal="left" vertical="top" wrapText="1"/>
    </xf>
    <xf numFmtId="165" fontId="41" fillId="8" borderId="0" xfId="0" applyNumberFormat="1" applyFont="1" applyFill="1" applyAlignment="1">
      <alignment horizontal="left" vertical="top" wrapText="1"/>
    </xf>
    <xf numFmtId="0" fontId="39" fillId="2" borderId="0" xfId="0" applyFont="1" applyFill="1" applyAlignment="1">
      <alignment horizontal="left" vertical="top" wrapText="1"/>
    </xf>
    <xf numFmtId="3" fontId="37" fillId="0" borderId="0" xfId="0" applyNumberFormat="1" applyFont="1" applyAlignment="1">
      <alignment horizontal="left" vertical="top" wrapText="1"/>
    </xf>
    <xf numFmtId="170" fontId="37" fillId="0" borderId="0" xfId="0" applyNumberFormat="1" applyFont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165" fontId="36" fillId="0" borderId="0" xfId="0" applyNumberFormat="1" applyFont="1" applyAlignment="1">
      <alignment horizontal="left" vertical="top" wrapText="1"/>
    </xf>
    <xf numFmtId="164" fontId="36" fillId="0" borderId="0" xfId="0" applyNumberFormat="1" applyFont="1" applyAlignment="1">
      <alignment horizontal="left" vertical="top" wrapText="1"/>
    </xf>
    <xf numFmtId="172" fontId="41" fillId="8" borderId="0" xfId="0" applyNumberFormat="1" applyFont="1" applyFill="1" applyAlignment="1">
      <alignment horizontal="left" vertical="top" wrapText="1"/>
    </xf>
    <xf numFmtId="165" fontId="37" fillId="0" borderId="0" xfId="0" applyNumberFormat="1" applyFont="1" applyAlignment="1">
      <alignment horizontal="left" vertical="top" wrapText="1"/>
    </xf>
    <xf numFmtId="3" fontId="41" fillId="8" borderId="0" xfId="0" applyNumberFormat="1" applyFont="1" applyFill="1" applyAlignment="1">
      <alignment horizontal="left" vertical="top" wrapText="1"/>
    </xf>
    <xf numFmtId="171" fontId="36" fillId="0" borderId="0" xfId="0" applyNumberFormat="1" applyFont="1" applyAlignment="1">
      <alignment horizontal="left" vertical="top" wrapText="1"/>
    </xf>
    <xf numFmtId="0" fontId="40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4" fillId="8" borderId="0" xfId="0" applyFont="1" applyFill="1" applyAlignment="1">
      <alignment horizontal="left" vertical="top" wrapText="1"/>
    </xf>
    <xf numFmtId="164" fontId="34" fillId="8" borderId="0" xfId="0" applyNumberFormat="1" applyFont="1" applyFill="1" applyAlignment="1">
      <alignment horizontal="left" vertical="top" wrapText="1"/>
    </xf>
    <xf numFmtId="170" fontId="34" fillId="8" borderId="0" xfId="0" applyNumberFormat="1" applyFont="1" applyFill="1" applyAlignment="1">
      <alignment horizontal="left" vertical="top" wrapText="1"/>
    </xf>
    <xf numFmtId="165" fontId="34" fillId="8" borderId="0" xfId="0" applyNumberFormat="1" applyFont="1" applyFill="1" applyAlignment="1">
      <alignment horizontal="left" vertical="top" wrapText="1"/>
    </xf>
    <xf numFmtId="0" fontId="38" fillId="0" borderId="0" xfId="0" applyFont="1" applyAlignment="1"/>
    <xf numFmtId="165" fontId="38" fillId="0" borderId="0" xfId="0" applyNumberFormat="1" applyFont="1" applyAlignment="1"/>
    <xf numFmtId="0" fontId="34" fillId="5" borderId="0" xfId="0" applyFont="1" applyFill="1" applyAlignment="1"/>
    <xf numFmtId="0" fontId="43" fillId="16" borderId="0" xfId="0" applyFont="1" applyFill="1" applyAlignment="1">
      <alignment wrapText="1"/>
    </xf>
    <xf numFmtId="0" fontId="42" fillId="15" borderId="0" xfId="0" applyFont="1" applyFill="1" applyAlignment="1">
      <alignment wrapText="1"/>
    </xf>
    <xf numFmtId="0" fontId="35" fillId="0" borderId="0" xfId="0" applyFont="1" applyAlignment="1">
      <alignment wrapText="1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4" fillId="0" borderId="4" xfId="0" applyFont="1" applyBorder="1" applyAlignment="1">
      <alignment horizontal="center" wrapText="1"/>
    </xf>
    <xf numFmtId="0" fontId="12" fillId="0" borderId="7" xfId="0" applyFont="1" applyBorder="1" applyAlignment="1"/>
    <xf numFmtId="0" fontId="1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2F3"/>
      <rgbColor rgb="FF993366"/>
      <rgbColor rgb="FFFFF2CC"/>
      <rgbColor rgb="FFE6FF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3F4F6"/>
      <rgbColor rgb="FF9FBAD0"/>
      <rgbColor rgb="FFE4DFEC"/>
      <rgbColor rgb="FFD0D7DE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Normal="100" workbookViewId="0">
      <selection activeCell="B9" sqref="B9"/>
    </sheetView>
  </sheetViews>
  <sheetFormatPr defaultColWidth="8.7109375" defaultRowHeight="15" customHeight="1" x14ac:dyDescent="0.25"/>
  <cols>
    <col min="1" max="1" width="87.28515625" style="27" customWidth="1"/>
    <col min="2" max="2" width="114.140625" style="27" customWidth="1"/>
    <col min="3" max="16384" width="8.7109375" style="25"/>
  </cols>
  <sheetData>
    <row r="1" spans="1:2" ht="18" customHeight="1" x14ac:dyDescent="0.25">
      <c r="A1" s="23" t="s">
        <v>0</v>
      </c>
    </row>
    <row r="2" spans="1:2" ht="13.5" x14ac:dyDescent="0.25"/>
    <row r="3" spans="1:2" ht="15" customHeight="1" x14ac:dyDescent="0.25">
      <c r="A3" s="26" t="s">
        <v>1</v>
      </c>
      <c r="B3" s="27" t="s">
        <v>2</v>
      </c>
    </row>
    <row r="4" spans="1:2" ht="13.5" x14ac:dyDescent="0.25"/>
    <row r="5" spans="1:2" ht="13.5" x14ac:dyDescent="0.25">
      <c r="A5" s="26" t="s">
        <v>3</v>
      </c>
    </row>
    <row r="6" spans="1:2" ht="27" x14ac:dyDescent="0.25">
      <c r="A6" s="28" t="s">
        <v>4</v>
      </c>
    </row>
    <row r="7" spans="1:2" ht="13.5" x14ac:dyDescent="0.25">
      <c r="A7" s="28" t="s">
        <v>5</v>
      </c>
    </row>
    <row r="8" spans="1:2" ht="13.5" x14ac:dyDescent="0.25">
      <c r="A8" s="28" t="s">
        <v>6</v>
      </c>
    </row>
    <row r="9" spans="1:2" ht="13.5" x14ac:dyDescent="0.25">
      <c r="A9" s="28" t="s">
        <v>7</v>
      </c>
    </row>
    <row r="10" spans="1:2" ht="13.5" x14ac:dyDescent="0.25">
      <c r="A10" s="28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selection activeCell="B2" sqref="B2"/>
    </sheetView>
  </sheetViews>
  <sheetFormatPr defaultColWidth="8.7109375" defaultRowHeight="15" customHeight="1" x14ac:dyDescent="0.25"/>
  <cols>
    <col min="1" max="1" width="18" style="18" customWidth="1"/>
    <col min="2" max="2" width="58" style="18" bestFit="1" customWidth="1"/>
    <col min="3" max="3" width="57.7109375" style="18" bestFit="1" customWidth="1"/>
    <col min="4" max="4" width="58.140625" style="18" bestFit="1" customWidth="1"/>
    <col min="5" max="5" width="64.28515625" style="18" bestFit="1" customWidth="1"/>
    <col min="6" max="16384" width="8.7109375" style="19"/>
  </cols>
  <sheetData>
    <row r="1" spans="1:5" ht="21" customHeight="1" x14ac:dyDescent="0.2">
      <c r="A1" s="132" t="s">
        <v>9</v>
      </c>
      <c r="B1" s="132" t="s">
        <v>10</v>
      </c>
      <c r="C1" s="132" t="s">
        <v>11</v>
      </c>
      <c r="D1" s="132" t="s">
        <v>12</v>
      </c>
      <c r="E1" s="132" t="s">
        <v>13</v>
      </c>
    </row>
    <row r="2" spans="1:5" ht="27.75" customHeight="1" x14ac:dyDescent="0.25">
      <c r="A2" s="133" t="s">
        <v>14</v>
      </c>
      <c r="B2" s="134" t="s">
        <v>15</v>
      </c>
      <c r="C2" s="134" t="s">
        <v>16</v>
      </c>
      <c r="D2" s="134" t="s">
        <v>17</v>
      </c>
      <c r="E2" s="134" t="s">
        <v>18</v>
      </c>
    </row>
    <row r="3" spans="1:5" ht="27.75" customHeight="1" x14ac:dyDescent="0.25">
      <c r="A3" s="133" t="s">
        <v>19</v>
      </c>
      <c r="B3" s="134" t="s">
        <v>20</v>
      </c>
      <c r="C3" s="134" t="s">
        <v>21</v>
      </c>
      <c r="D3" s="134" t="s">
        <v>22</v>
      </c>
      <c r="E3" s="134" t="s">
        <v>23</v>
      </c>
    </row>
    <row r="4" spans="1:5" ht="27.75" customHeight="1" x14ac:dyDescent="0.25">
      <c r="A4" s="133" t="s">
        <v>24</v>
      </c>
      <c r="B4" s="134" t="s">
        <v>25</v>
      </c>
      <c r="C4" s="134" t="s">
        <v>26</v>
      </c>
      <c r="D4" s="134" t="s">
        <v>27</v>
      </c>
      <c r="E4" s="134" t="s">
        <v>28</v>
      </c>
    </row>
    <row r="5" spans="1:5" ht="27.75" customHeight="1" x14ac:dyDescent="0.25">
      <c r="A5" s="133" t="s">
        <v>29</v>
      </c>
      <c r="B5" s="134" t="s">
        <v>30</v>
      </c>
      <c r="C5" s="134" t="s">
        <v>31</v>
      </c>
      <c r="D5" s="134" t="s">
        <v>32</v>
      </c>
      <c r="E5" s="134" t="s">
        <v>33</v>
      </c>
    </row>
    <row r="6" spans="1:5" ht="27.75" customHeight="1" x14ac:dyDescent="0.25">
      <c r="A6" s="133" t="s">
        <v>34</v>
      </c>
      <c r="B6" s="134" t="s">
        <v>35</v>
      </c>
      <c r="C6" s="134" t="s">
        <v>36</v>
      </c>
      <c r="D6" s="134" t="s">
        <v>37</v>
      </c>
      <c r="E6" s="134" t="s">
        <v>38</v>
      </c>
    </row>
    <row r="7" spans="1:5" ht="27.75" customHeight="1" x14ac:dyDescent="0.25">
      <c r="A7" s="133" t="s">
        <v>39</v>
      </c>
      <c r="B7" s="134" t="s">
        <v>40</v>
      </c>
      <c r="C7" s="134" t="s">
        <v>41</v>
      </c>
      <c r="D7" s="134" t="s">
        <v>42</v>
      </c>
      <c r="E7" s="134" t="s">
        <v>43</v>
      </c>
    </row>
    <row r="8" spans="1:5" ht="27.75" customHeight="1" x14ac:dyDescent="0.25">
      <c r="A8" s="133" t="s">
        <v>44</v>
      </c>
      <c r="B8" s="134" t="s">
        <v>45</v>
      </c>
      <c r="C8" s="134" t="s">
        <v>46</v>
      </c>
      <c r="D8" s="134" t="s">
        <v>47</v>
      </c>
      <c r="E8" s="134" t="s">
        <v>48</v>
      </c>
    </row>
    <row r="9" spans="1:5" ht="27.75" customHeight="1" x14ac:dyDescent="0.25">
      <c r="A9" s="133" t="s">
        <v>49</v>
      </c>
      <c r="B9" s="134" t="s">
        <v>50</v>
      </c>
      <c r="C9" s="134" t="s">
        <v>51</v>
      </c>
      <c r="D9" s="134" t="s">
        <v>52</v>
      </c>
      <c r="E9" s="134" t="s">
        <v>53</v>
      </c>
    </row>
    <row r="10" spans="1:5" ht="27.75" customHeight="1" x14ac:dyDescent="0.25">
      <c r="A10" s="133" t="s">
        <v>54</v>
      </c>
      <c r="B10" s="134" t="s">
        <v>55</v>
      </c>
      <c r="C10" s="134" t="s">
        <v>56</v>
      </c>
      <c r="D10" s="134" t="s">
        <v>57</v>
      </c>
      <c r="E10" s="134" t="s">
        <v>58</v>
      </c>
    </row>
    <row r="11" spans="1:5" ht="27.75" customHeight="1" x14ac:dyDescent="0.25">
      <c r="A11" s="133" t="s">
        <v>59</v>
      </c>
      <c r="B11" s="134" t="s">
        <v>60</v>
      </c>
      <c r="C11" s="134" t="s">
        <v>61</v>
      </c>
      <c r="D11" s="134" t="s">
        <v>62</v>
      </c>
      <c r="E11" s="134" t="s">
        <v>63</v>
      </c>
    </row>
    <row r="12" spans="1:5" ht="27.75" customHeight="1" x14ac:dyDescent="0.25">
      <c r="A12" s="133" t="s">
        <v>64</v>
      </c>
      <c r="B12" s="134" t="s">
        <v>65</v>
      </c>
      <c r="C12" s="134" t="s">
        <v>66</v>
      </c>
      <c r="D12" s="134" t="s">
        <v>67</v>
      </c>
      <c r="E12" s="134" t="s">
        <v>68</v>
      </c>
    </row>
    <row r="13" spans="1:5" ht="27.75" customHeight="1" x14ac:dyDescent="0.25">
      <c r="A13" s="133" t="s">
        <v>69</v>
      </c>
      <c r="B13" s="134" t="s">
        <v>70</v>
      </c>
      <c r="C13" s="134" t="s">
        <v>71</v>
      </c>
      <c r="D13" s="134" t="s">
        <v>72</v>
      </c>
      <c r="E13" s="134" t="s">
        <v>73</v>
      </c>
    </row>
    <row r="14" spans="1:5" ht="27.75" customHeight="1" x14ac:dyDescent="0.25">
      <c r="A14" s="133" t="s">
        <v>74</v>
      </c>
      <c r="B14" s="134" t="s">
        <v>75</v>
      </c>
      <c r="C14" s="134" t="s">
        <v>76</v>
      </c>
      <c r="D14" s="134" t="s">
        <v>77</v>
      </c>
      <c r="E14" s="134" t="s">
        <v>78</v>
      </c>
    </row>
    <row r="15" spans="1:5" ht="41.25" customHeight="1" x14ac:dyDescent="0.25">
      <c r="A15" s="133" t="s">
        <v>79</v>
      </c>
      <c r="B15" s="134" t="s">
        <v>80</v>
      </c>
      <c r="C15" s="134" t="s">
        <v>81</v>
      </c>
      <c r="D15" s="134" t="s">
        <v>82</v>
      </c>
      <c r="E15" s="134" t="s">
        <v>83</v>
      </c>
    </row>
    <row r="16" spans="1:5" ht="15" customHeight="1" x14ac:dyDescent="0.25">
      <c r="A16" s="133" t="s">
        <v>84</v>
      </c>
      <c r="B16" s="134" t="s">
        <v>85</v>
      </c>
      <c r="C16" s="134" t="s">
        <v>86</v>
      </c>
      <c r="D16" s="134" t="s">
        <v>87</v>
      </c>
      <c r="E16" s="134" t="s">
        <v>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showGridLines="0" zoomScaleNormal="100" workbookViewId="0">
      <selection activeCell="D23" sqref="D23"/>
    </sheetView>
  </sheetViews>
  <sheetFormatPr defaultColWidth="8.7109375" defaultRowHeight="15" customHeight="1" x14ac:dyDescent="0.25"/>
  <cols>
    <col min="1" max="1" width="28" style="1" customWidth="1"/>
    <col min="2" max="3" width="18" style="1" customWidth="1"/>
    <col min="4" max="4" width="42" style="1" customWidth="1"/>
  </cols>
  <sheetData>
    <row r="1" spans="1:4" ht="17.25" customHeight="1" x14ac:dyDescent="0.25">
      <c r="A1" s="2" t="s">
        <v>89</v>
      </c>
    </row>
    <row r="2" spans="1:4" x14ac:dyDescent="0.25"/>
    <row r="3" spans="1:4" ht="15" customHeight="1" x14ac:dyDescent="0.2">
      <c r="A3" s="3" t="s">
        <v>90</v>
      </c>
      <c r="B3" s="3" t="s">
        <v>91</v>
      </c>
      <c r="C3" s="3" t="s">
        <v>92</v>
      </c>
      <c r="D3" s="3" t="s">
        <v>93</v>
      </c>
    </row>
    <row r="4" spans="1:4" ht="15" customHeight="1" x14ac:dyDescent="0.3">
      <c r="A4" s="129" t="s">
        <v>94</v>
      </c>
      <c r="B4" s="95">
        <v>190</v>
      </c>
      <c r="C4" s="129" t="s">
        <v>95</v>
      </c>
      <c r="D4" s="129" t="s">
        <v>96</v>
      </c>
    </row>
    <row r="5" spans="1:4" ht="15" customHeight="1" x14ac:dyDescent="0.3">
      <c r="A5" s="129" t="s">
        <v>97</v>
      </c>
      <c r="B5" s="95">
        <v>2000</v>
      </c>
      <c r="C5" s="129" t="s">
        <v>98</v>
      </c>
      <c r="D5" s="129" t="s">
        <v>96</v>
      </c>
    </row>
    <row r="6" spans="1:4" ht="15" customHeight="1" x14ac:dyDescent="0.3">
      <c r="A6" s="129" t="s">
        <v>99</v>
      </c>
      <c r="B6" s="95">
        <v>0.08</v>
      </c>
      <c r="C6" s="129" t="s">
        <v>100</v>
      </c>
      <c r="D6" s="129" t="s">
        <v>96</v>
      </c>
    </row>
    <row r="7" spans="1:4" ht="15" customHeight="1" x14ac:dyDescent="0.3">
      <c r="A7" s="129" t="s">
        <v>101</v>
      </c>
      <c r="B7" s="95">
        <v>390</v>
      </c>
      <c r="C7" s="129" t="s">
        <v>95</v>
      </c>
      <c r="D7" s="129" t="s">
        <v>96</v>
      </c>
    </row>
    <row r="8" spans="1:4" ht="15" customHeight="1" x14ac:dyDescent="0.3">
      <c r="A8" s="129" t="s">
        <v>102</v>
      </c>
      <c r="B8" s="95">
        <v>5000</v>
      </c>
      <c r="C8" s="129" t="s">
        <v>98</v>
      </c>
      <c r="D8" s="129" t="s">
        <v>96</v>
      </c>
    </row>
    <row r="9" spans="1:4" ht="15" customHeight="1" x14ac:dyDescent="0.3">
      <c r="A9" s="129" t="s">
        <v>103</v>
      </c>
      <c r="B9" s="95">
        <v>0.06</v>
      </c>
      <c r="C9" s="129" t="s">
        <v>100</v>
      </c>
      <c r="D9" s="129" t="s">
        <v>96</v>
      </c>
    </row>
    <row r="10" spans="1:4" ht="15" customHeight="1" x14ac:dyDescent="0.3">
      <c r="A10" s="129" t="s">
        <v>104</v>
      </c>
      <c r="B10" s="95">
        <v>790</v>
      </c>
      <c r="C10" s="129" t="s">
        <v>95</v>
      </c>
      <c r="D10" s="129" t="s">
        <v>96</v>
      </c>
    </row>
    <row r="11" spans="1:4" ht="15" customHeight="1" x14ac:dyDescent="0.3">
      <c r="A11" s="129" t="s">
        <v>105</v>
      </c>
      <c r="B11" s="95">
        <v>10000</v>
      </c>
      <c r="C11" s="129" t="s">
        <v>98</v>
      </c>
      <c r="D11" s="129" t="s">
        <v>96</v>
      </c>
    </row>
    <row r="12" spans="1:4" ht="15" customHeight="1" x14ac:dyDescent="0.3">
      <c r="A12" s="129" t="s">
        <v>106</v>
      </c>
      <c r="B12" s="95">
        <v>0.05</v>
      </c>
      <c r="C12" s="129" t="s">
        <v>100</v>
      </c>
      <c r="D12" s="129" t="s">
        <v>96</v>
      </c>
    </row>
    <row r="13" spans="1:4" ht="15" customHeight="1" x14ac:dyDescent="0.3">
      <c r="A13" s="129" t="s">
        <v>107</v>
      </c>
      <c r="B13" s="129" t="s">
        <v>108</v>
      </c>
      <c r="C13" s="129" t="s">
        <v>95</v>
      </c>
      <c r="D13" s="129" t="s">
        <v>109</v>
      </c>
    </row>
    <row r="14" spans="1:4" ht="15" customHeight="1" x14ac:dyDescent="0.3">
      <c r="A14" s="129" t="s">
        <v>110</v>
      </c>
      <c r="B14" s="95">
        <v>10</v>
      </c>
      <c r="C14" s="129" t="s">
        <v>111</v>
      </c>
      <c r="D14" s="129" t="s">
        <v>112</v>
      </c>
    </row>
    <row r="15" spans="1:4" ht="15" customHeight="1" x14ac:dyDescent="0.3">
      <c r="A15" s="129"/>
      <c r="C15" s="129"/>
      <c r="D15" s="129"/>
    </row>
    <row r="16" spans="1:4" ht="15" customHeight="1" x14ac:dyDescent="0.3">
      <c r="A16" s="129"/>
      <c r="C16" s="129"/>
      <c r="D16" s="129"/>
    </row>
    <row r="17" spans="1:5" ht="15" customHeight="1" x14ac:dyDescent="0.3">
      <c r="A17" s="129"/>
      <c r="C17" s="129"/>
      <c r="D17" s="129"/>
    </row>
    <row r="21" spans="1:5" ht="15" customHeight="1" x14ac:dyDescent="0.3">
      <c r="D21" s="129"/>
    </row>
    <row r="22" spans="1:5" ht="15" customHeight="1" x14ac:dyDescent="0.3">
      <c r="D22" s="129"/>
    </row>
    <row r="23" spans="1:5" ht="15" customHeight="1" x14ac:dyDescent="0.3">
      <c r="D23" s="129"/>
    </row>
    <row r="24" spans="1:5" ht="15" customHeight="1" x14ac:dyDescent="0.3">
      <c r="D24" s="129"/>
      <c r="E24" s="129"/>
    </row>
    <row r="25" spans="1:5" ht="15" customHeight="1" x14ac:dyDescent="0.3">
      <c r="D25" s="129"/>
      <c r="E25" s="129"/>
    </row>
    <row r="26" spans="1:5" ht="15" customHeight="1" x14ac:dyDescent="0.3">
      <c r="D26" s="129"/>
      <c r="E26" s="129"/>
    </row>
    <row r="27" spans="1:5" ht="15" customHeight="1" x14ac:dyDescent="0.3">
      <c r="D27" s="129"/>
      <c r="E27" s="129"/>
    </row>
    <row r="28" spans="1:5" ht="15" customHeight="1" x14ac:dyDescent="0.3">
      <c r="E28" s="129"/>
    </row>
    <row r="29" spans="1:5" ht="15" customHeight="1" x14ac:dyDescent="0.3">
      <c r="E29" s="129"/>
    </row>
    <row r="30" spans="1:5" ht="15" customHeight="1" x14ac:dyDescent="0.3">
      <c r="E30" s="129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"/>
  <sheetViews>
    <sheetView showGridLines="0" topLeftCell="A13" zoomScaleNormal="100" workbookViewId="0">
      <selection activeCell="A22" sqref="A22:A28"/>
    </sheetView>
  </sheetViews>
  <sheetFormatPr defaultColWidth="8.7109375" defaultRowHeight="15" customHeight="1" x14ac:dyDescent="0.25"/>
  <cols>
    <col min="1" max="1" width="45.140625" style="1" customWidth="1"/>
    <col min="2" max="2" width="46.5703125" style="1" bestFit="1" customWidth="1"/>
    <col min="3" max="3" width="12" style="1" customWidth="1"/>
    <col min="4" max="4" width="20.42578125" style="1" customWidth="1"/>
    <col min="5" max="5" width="82" style="1" customWidth="1"/>
    <col min="6" max="7" width="7.140625" style="1" customWidth="1"/>
    <col min="8" max="8" width="12" style="1" customWidth="1"/>
    <col min="9" max="9" width="36" style="1" customWidth="1"/>
  </cols>
  <sheetData>
    <row r="1" spans="1:6" ht="15" customHeight="1" x14ac:dyDescent="0.25">
      <c r="A1" s="20" t="s">
        <v>113</v>
      </c>
      <c r="B1" s="21"/>
      <c r="C1" s="21"/>
      <c r="D1" s="21"/>
      <c r="E1" s="21"/>
      <c r="F1" s="16"/>
    </row>
    <row r="2" spans="1:6" ht="15" customHeight="1" x14ac:dyDescent="0.25">
      <c r="A2" s="5"/>
      <c r="B2" s="5"/>
      <c r="C2" s="5"/>
      <c r="D2" s="5"/>
      <c r="E2" s="5"/>
      <c r="F2" s="16"/>
    </row>
    <row r="3" spans="1:6" ht="15" customHeight="1" x14ac:dyDescent="0.25">
      <c r="A3" s="6" t="s">
        <v>114</v>
      </c>
      <c r="B3" s="6" t="s">
        <v>115</v>
      </c>
      <c r="C3" s="6" t="s">
        <v>116</v>
      </c>
      <c r="D3" s="6" t="s">
        <v>92</v>
      </c>
      <c r="E3" s="6" t="s">
        <v>117</v>
      </c>
      <c r="F3" s="17"/>
    </row>
    <row r="4" spans="1:6" ht="15" customHeight="1" x14ac:dyDescent="0.3">
      <c r="A4" s="129" t="s">
        <v>118</v>
      </c>
      <c r="B4" s="129" t="s">
        <v>119</v>
      </c>
      <c r="C4" s="8" t="s">
        <v>120</v>
      </c>
      <c r="D4" s="129" t="s">
        <v>121</v>
      </c>
      <c r="E4" s="129" t="s">
        <v>122</v>
      </c>
      <c r="F4" s="16"/>
    </row>
    <row r="5" spans="1:6" ht="15" customHeight="1" x14ac:dyDescent="0.3">
      <c r="A5" s="129" t="s">
        <v>123</v>
      </c>
      <c r="B5" s="129" t="s">
        <v>124</v>
      </c>
      <c r="C5" s="9">
        <v>0.78</v>
      </c>
      <c r="D5" s="129" t="s">
        <v>125</v>
      </c>
      <c r="E5" s="129" t="s">
        <v>126</v>
      </c>
      <c r="F5" s="16"/>
    </row>
    <row r="6" spans="1:6" ht="15" customHeight="1" x14ac:dyDescent="0.3">
      <c r="A6" s="129" t="s">
        <v>123</v>
      </c>
      <c r="B6" s="129" t="s">
        <v>127</v>
      </c>
      <c r="C6" s="9">
        <v>0.8</v>
      </c>
      <c r="D6" s="129" t="s">
        <v>125</v>
      </c>
      <c r="E6" s="129" t="s">
        <v>128</v>
      </c>
      <c r="F6" s="16"/>
    </row>
    <row r="7" spans="1:6" ht="15" customHeight="1" x14ac:dyDescent="0.3">
      <c r="A7" s="129" t="s">
        <v>123</v>
      </c>
      <c r="B7" s="129" t="s">
        <v>129</v>
      </c>
      <c r="C7" s="9">
        <v>0.82</v>
      </c>
      <c r="D7" s="129" t="s">
        <v>125</v>
      </c>
      <c r="E7" s="129" t="s">
        <v>130</v>
      </c>
      <c r="F7" s="16"/>
    </row>
    <row r="8" spans="1:6" ht="15" customHeight="1" x14ac:dyDescent="0.3">
      <c r="A8" s="129" t="s">
        <v>123</v>
      </c>
      <c r="B8" s="129" t="s">
        <v>131</v>
      </c>
      <c r="C8" s="9">
        <v>0.8</v>
      </c>
      <c r="D8" s="129" t="s">
        <v>125</v>
      </c>
      <c r="E8" s="129" t="s">
        <v>132</v>
      </c>
      <c r="F8" s="16"/>
    </row>
    <row r="9" spans="1:6" ht="15" customHeight="1" x14ac:dyDescent="0.3">
      <c r="A9" s="129" t="s">
        <v>133</v>
      </c>
      <c r="B9" s="129" t="s">
        <v>134</v>
      </c>
      <c r="C9" s="9">
        <v>0.04</v>
      </c>
      <c r="D9" s="129" t="s">
        <v>125</v>
      </c>
      <c r="E9" s="129" t="s">
        <v>135</v>
      </c>
      <c r="F9" s="16"/>
    </row>
    <row r="10" spans="1:6" ht="15" customHeight="1" x14ac:dyDescent="0.3">
      <c r="A10" s="129" t="s">
        <v>133</v>
      </c>
      <c r="B10" s="129" t="s">
        <v>136</v>
      </c>
      <c r="C10" s="9">
        <v>0.03</v>
      </c>
      <c r="D10" s="129" t="s">
        <v>125</v>
      </c>
      <c r="E10" s="129" t="s">
        <v>137</v>
      </c>
      <c r="F10" s="16"/>
    </row>
    <row r="11" spans="1:6" ht="15" customHeight="1" x14ac:dyDescent="0.3">
      <c r="A11" s="129" t="s">
        <v>133</v>
      </c>
      <c r="B11" s="129" t="s">
        <v>138</v>
      </c>
      <c r="C11" s="9">
        <v>2.5000000000000001E-2</v>
      </c>
      <c r="D11" s="129" t="s">
        <v>125</v>
      </c>
      <c r="E11" s="129" t="s">
        <v>139</v>
      </c>
      <c r="F11" s="16"/>
    </row>
    <row r="12" spans="1:6" ht="15" customHeight="1" x14ac:dyDescent="0.3">
      <c r="A12" s="129" t="s">
        <v>133</v>
      </c>
      <c r="B12" s="129" t="s">
        <v>140</v>
      </c>
      <c r="C12" s="9">
        <v>1.4999999999999999E-2</v>
      </c>
      <c r="D12" s="129" t="s">
        <v>125</v>
      </c>
      <c r="E12" s="129" t="s">
        <v>141</v>
      </c>
      <c r="F12" s="16"/>
    </row>
    <row r="13" spans="1:6" ht="15" customHeight="1" x14ac:dyDescent="0.3">
      <c r="A13" s="129" t="s">
        <v>142</v>
      </c>
      <c r="B13" s="129" t="s">
        <v>143</v>
      </c>
      <c r="C13" s="10">
        <v>9</v>
      </c>
      <c r="D13" s="129" t="s">
        <v>144</v>
      </c>
      <c r="E13" s="129" t="s">
        <v>145</v>
      </c>
      <c r="F13" s="16"/>
    </row>
    <row r="14" spans="1:6" ht="15" customHeight="1" x14ac:dyDescent="0.3">
      <c r="A14" s="129" t="s">
        <v>142</v>
      </c>
      <c r="B14" s="129" t="s">
        <v>146</v>
      </c>
      <c r="C14" s="10">
        <v>9</v>
      </c>
      <c r="D14" s="129" t="s">
        <v>144</v>
      </c>
      <c r="E14" s="129" t="s">
        <v>145</v>
      </c>
      <c r="F14" s="16"/>
    </row>
    <row r="15" spans="1:6" ht="15" customHeight="1" x14ac:dyDescent="0.3">
      <c r="A15" s="129" t="s">
        <v>142</v>
      </c>
      <c r="B15" s="129" t="s">
        <v>147</v>
      </c>
      <c r="C15" s="10">
        <v>12</v>
      </c>
      <c r="D15" s="129" t="s">
        <v>144</v>
      </c>
      <c r="E15" s="129" t="s">
        <v>148</v>
      </c>
      <c r="F15" s="16"/>
    </row>
    <row r="16" spans="1:6" ht="15" customHeight="1" x14ac:dyDescent="0.3">
      <c r="A16" s="129" t="s">
        <v>142</v>
      </c>
      <c r="B16" s="129" t="s">
        <v>149</v>
      </c>
      <c r="C16" s="10">
        <v>12</v>
      </c>
      <c r="D16" s="129" t="s">
        <v>144</v>
      </c>
      <c r="E16" s="129" t="s">
        <v>150</v>
      </c>
      <c r="F16" s="16"/>
    </row>
    <row r="17" spans="1:6" ht="15" customHeight="1" x14ac:dyDescent="0.3">
      <c r="A17" s="129" t="s">
        <v>142</v>
      </c>
      <c r="B17" s="129" t="s">
        <v>151</v>
      </c>
      <c r="C17" s="9">
        <v>0.7</v>
      </c>
      <c r="D17" s="129" t="s">
        <v>125</v>
      </c>
      <c r="E17" s="129" t="s">
        <v>152</v>
      </c>
      <c r="F17" s="16"/>
    </row>
    <row r="18" spans="1:6" ht="15" customHeight="1" x14ac:dyDescent="0.3">
      <c r="A18" s="129" t="s">
        <v>142</v>
      </c>
      <c r="B18" s="129" t="s">
        <v>153</v>
      </c>
      <c r="C18" s="9">
        <v>0.72</v>
      </c>
      <c r="D18" s="129" t="s">
        <v>125</v>
      </c>
      <c r="E18" s="129" t="s">
        <v>152</v>
      </c>
      <c r="F18" s="16"/>
    </row>
    <row r="19" spans="1:6" ht="15" customHeight="1" x14ac:dyDescent="0.3">
      <c r="A19" s="129" t="s">
        <v>142</v>
      </c>
      <c r="B19" s="129" t="s">
        <v>154</v>
      </c>
      <c r="C19" s="9">
        <v>0.75</v>
      </c>
      <c r="D19" s="129" t="s">
        <v>125</v>
      </c>
      <c r="E19" s="129" t="s">
        <v>152</v>
      </c>
      <c r="F19" s="16"/>
    </row>
    <row r="20" spans="1:6" ht="15" customHeight="1" x14ac:dyDescent="0.3">
      <c r="A20" s="129" t="s">
        <v>142</v>
      </c>
      <c r="B20" s="129" t="s">
        <v>155</v>
      </c>
      <c r="C20" s="9">
        <v>0.7</v>
      </c>
      <c r="D20" s="129" t="s">
        <v>125</v>
      </c>
      <c r="E20" s="129" t="s">
        <v>152</v>
      </c>
      <c r="F20" s="16"/>
    </row>
    <row r="21" spans="1:6" ht="15" customHeight="1" x14ac:dyDescent="0.3">
      <c r="A21" s="129" t="s">
        <v>156</v>
      </c>
      <c r="B21" s="129" t="s">
        <v>157</v>
      </c>
      <c r="C21" s="10">
        <v>40</v>
      </c>
      <c r="D21" s="129" t="s">
        <v>158</v>
      </c>
      <c r="E21" s="129" t="s">
        <v>159</v>
      </c>
      <c r="F21" s="16"/>
    </row>
    <row r="22" spans="1:6" ht="15" customHeight="1" x14ac:dyDescent="0.3">
      <c r="A22" s="129" t="s">
        <v>156</v>
      </c>
      <c r="B22" s="129" t="s">
        <v>160</v>
      </c>
      <c r="C22" s="10">
        <v>30</v>
      </c>
      <c r="D22" s="129" t="s">
        <v>158</v>
      </c>
      <c r="E22" s="129" t="s">
        <v>159</v>
      </c>
      <c r="F22" s="16"/>
    </row>
    <row r="23" spans="1:6" ht="15" customHeight="1" x14ac:dyDescent="0.3">
      <c r="A23" s="129" t="s">
        <v>156</v>
      </c>
      <c r="B23" s="129" t="s">
        <v>161</v>
      </c>
      <c r="C23" s="10">
        <v>20</v>
      </c>
      <c r="D23" s="129" t="s">
        <v>158</v>
      </c>
      <c r="E23" s="129" t="s">
        <v>159</v>
      </c>
      <c r="F23" s="16"/>
    </row>
    <row r="24" spans="1:6" ht="15" customHeight="1" x14ac:dyDescent="0.3">
      <c r="A24" s="129" t="s">
        <v>156</v>
      </c>
      <c r="B24" s="129" t="s">
        <v>162</v>
      </c>
      <c r="C24" s="10">
        <v>5</v>
      </c>
      <c r="D24" s="129" t="s">
        <v>158</v>
      </c>
      <c r="E24" s="129" t="s">
        <v>159</v>
      </c>
      <c r="F24" s="16"/>
    </row>
    <row r="25" spans="1:6" ht="15" customHeight="1" x14ac:dyDescent="0.3">
      <c r="A25" s="129" t="s">
        <v>156</v>
      </c>
      <c r="B25" s="129" t="s">
        <v>163</v>
      </c>
      <c r="C25" s="9">
        <v>0.6</v>
      </c>
      <c r="D25" s="129" t="s">
        <v>125</v>
      </c>
      <c r="E25" s="129" t="s">
        <v>164</v>
      </c>
      <c r="F25" s="16"/>
    </row>
    <row r="26" spans="1:6" ht="15" customHeight="1" x14ac:dyDescent="0.3">
      <c r="A26" s="129" t="s">
        <v>156</v>
      </c>
      <c r="B26" s="129" t="s">
        <v>165</v>
      </c>
      <c r="C26" s="9">
        <v>0.55000000000000004</v>
      </c>
      <c r="D26" s="129" t="s">
        <v>125</v>
      </c>
      <c r="E26" s="129" t="s">
        <v>164</v>
      </c>
      <c r="F26" s="16"/>
    </row>
    <row r="27" spans="1:6" ht="15" customHeight="1" x14ac:dyDescent="0.3">
      <c r="A27" s="129" t="s">
        <v>156</v>
      </c>
      <c r="B27" s="129" t="s">
        <v>166</v>
      </c>
      <c r="C27" s="9">
        <v>0.5</v>
      </c>
      <c r="D27" s="129" t="s">
        <v>125</v>
      </c>
      <c r="E27" s="129" t="s">
        <v>164</v>
      </c>
      <c r="F27" s="16"/>
    </row>
    <row r="28" spans="1:6" ht="15" customHeight="1" x14ac:dyDescent="0.3">
      <c r="A28" s="129" t="s">
        <v>156</v>
      </c>
      <c r="B28" s="129" t="s">
        <v>167</v>
      </c>
      <c r="C28" s="9">
        <v>0.35</v>
      </c>
      <c r="D28" s="129" t="s">
        <v>125</v>
      </c>
      <c r="E28" s="129" t="s">
        <v>164</v>
      </c>
      <c r="F28" s="16"/>
    </row>
    <row r="29" spans="1:6" ht="15" customHeight="1" x14ac:dyDescent="0.3">
      <c r="A29" s="129" t="s">
        <v>168</v>
      </c>
      <c r="B29" s="129" t="s">
        <v>169</v>
      </c>
      <c r="C29" s="11">
        <v>110000</v>
      </c>
      <c r="D29" s="129" t="s">
        <v>170</v>
      </c>
      <c r="E29" s="129" t="s">
        <v>171</v>
      </c>
      <c r="F29" s="16"/>
    </row>
    <row r="30" spans="1:6" ht="15" customHeight="1" x14ac:dyDescent="0.3">
      <c r="A30" s="129" t="s">
        <v>168</v>
      </c>
      <c r="B30" s="129" t="s">
        <v>172</v>
      </c>
      <c r="C30" s="11">
        <v>95000</v>
      </c>
      <c r="D30" s="129" t="s">
        <v>170</v>
      </c>
      <c r="E30" s="129" t="s">
        <v>171</v>
      </c>
      <c r="F30" s="16"/>
    </row>
    <row r="31" spans="1:6" ht="15" customHeight="1" x14ac:dyDescent="0.3">
      <c r="A31" s="129" t="s">
        <v>168</v>
      </c>
      <c r="B31" s="129" t="s">
        <v>173</v>
      </c>
      <c r="C31" s="11">
        <v>75000</v>
      </c>
      <c r="D31" s="129" t="s">
        <v>170</v>
      </c>
      <c r="E31" s="129" t="s">
        <v>171</v>
      </c>
      <c r="F31" s="16"/>
    </row>
    <row r="32" spans="1:6" ht="15" customHeight="1" x14ac:dyDescent="0.3">
      <c r="A32" s="129" t="s">
        <v>168</v>
      </c>
      <c r="B32" s="129" t="s">
        <v>174</v>
      </c>
      <c r="C32" s="11">
        <v>80000</v>
      </c>
      <c r="D32" s="129" t="s">
        <v>170</v>
      </c>
      <c r="E32" s="129" t="s">
        <v>171</v>
      </c>
      <c r="F32" s="16"/>
    </row>
    <row r="33" spans="1:9" ht="15" customHeight="1" x14ac:dyDescent="0.3">
      <c r="A33" s="129" t="s">
        <v>168</v>
      </c>
      <c r="B33" s="129" t="s">
        <v>175</v>
      </c>
      <c r="C33" s="11">
        <v>65000</v>
      </c>
      <c r="D33" s="129" t="s">
        <v>170</v>
      </c>
      <c r="E33" s="129" t="s">
        <v>171</v>
      </c>
      <c r="F33" s="16"/>
    </row>
    <row r="34" spans="1:9" ht="15" customHeight="1" x14ac:dyDescent="0.3">
      <c r="A34" s="129" t="s">
        <v>168</v>
      </c>
      <c r="B34" s="129" t="s">
        <v>176</v>
      </c>
      <c r="C34" s="11">
        <v>15000</v>
      </c>
      <c r="D34" s="129" t="s">
        <v>95</v>
      </c>
      <c r="E34" s="129" t="s">
        <v>177</v>
      </c>
      <c r="F34" s="16"/>
    </row>
    <row r="35" spans="1:9" ht="15" customHeight="1" x14ac:dyDescent="0.3">
      <c r="A35" s="129" t="s">
        <v>168</v>
      </c>
      <c r="B35" s="129" t="s">
        <v>178</v>
      </c>
      <c r="C35" s="9">
        <v>0.1</v>
      </c>
      <c r="D35" s="129" t="s">
        <v>125</v>
      </c>
      <c r="E35" s="129" t="s">
        <v>179</v>
      </c>
      <c r="F35" s="16"/>
    </row>
    <row r="36" spans="1:9" ht="15" customHeight="1" x14ac:dyDescent="0.3">
      <c r="A36" s="129" t="s">
        <v>180</v>
      </c>
      <c r="B36" s="129" t="s">
        <v>181</v>
      </c>
      <c r="C36" s="12">
        <v>8</v>
      </c>
      <c r="D36" s="129" t="s">
        <v>182</v>
      </c>
      <c r="E36" s="129" t="s">
        <v>183</v>
      </c>
      <c r="F36" s="16"/>
    </row>
    <row r="37" spans="1:9" ht="15" customHeight="1" x14ac:dyDescent="0.3">
      <c r="A37" s="129" t="s">
        <v>180</v>
      </c>
      <c r="B37" s="129" t="s">
        <v>184</v>
      </c>
      <c r="C37" s="12">
        <v>10</v>
      </c>
      <c r="D37" s="129" t="s">
        <v>182</v>
      </c>
      <c r="E37" s="129" t="s">
        <v>185</v>
      </c>
      <c r="F37" s="16"/>
    </row>
    <row r="38" spans="1:9" ht="15" customHeight="1" x14ac:dyDescent="0.3">
      <c r="A38" s="129" t="s">
        <v>180</v>
      </c>
      <c r="B38" s="129" t="s">
        <v>186</v>
      </c>
      <c r="C38" s="12">
        <v>12</v>
      </c>
      <c r="D38" s="129" t="s">
        <v>182</v>
      </c>
      <c r="E38" s="129" t="s">
        <v>187</v>
      </c>
      <c r="F38" s="16"/>
    </row>
    <row r="39" spans="1:9" ht="15" customHeight="1" x14ac:dyDescent="0.3">
      <c r="A39" s="129"/>
      <c r="B39" s="5"/>
      <c r="C39" s="5"/>
      <c r="D39" s="5"/>
      <c r="E39" s="5"/>
      <c r="F39" s="16"/>
    </row>
    <row r="40" spans="1:9" ht="15" customHeight="1" x14ac:dyDescent="0.25">
      <c r="A40" s="20" t="s">
        <v>188</v>
      </c>
      <c r="B40" s="21"/>
      <c r="C40" s="21"/>
      <c r="D40" s="21"/>
      <c r="E40" s="21"/>
      <c r="F40" s="21"/>
      <c r="G40" s="21"/>
      <c r="H40" s="21"/>
      <c r="I40" s="21"/>
    </row>
    <row r="41" spans="1:9" ht="15" customHeight="1" x14ac:dyDescent="0.25">
      <c r="A41" s="5"/>
      <c r="B41" s="13" t="s">
        <v>189</v>
      </c>
      <c r="C41" s="13">
        <v>2026</v>
      </c>
      <c r="D41" s="13">
        <v>2027</v>
      </c>
      <c r="E41" s="13">
        <v>2028</v>
      </c>
      <c r="F41" s="13">
        <v>2029</v>
      </c>
      <c r="G41" s="13">
        <v>2030</v>
      </c>
      <c r="H41" s="5"/>
      <c r="I41" s="5"/>
    </row>
    <row r="42" spans="1:9" ht="15" customHeight="1" x14ac:dyDescent="0.3">
      <c r="A42" s="5"/>
      <c r="B42" s="129" t="s">
        <v>190</v>
      </c>
      <c r="C42" s="130">
        <v>0.6</v>
      </c>
      <c r="D42" s="130">
        <v>0.45</v>
      </c>
      <c r="E42" s="14">
        <v>0.35</v>
      </c>
      <c r="F42" s="14">
        <v>0.3</v>
      </c>
      <c r="G42" s="14">
        <v>0.35</v>
      </c>
      <c r="H42" s="5"/>
      <c r="I42" s="5"/>
    </row>
    <row r="43" spans="1:9" ht="15" customHeight="1" x14ac:dyDescent="0.3">
      <c r="A43" s="5"/>
      <c r="B43" s="129" t="s">
        <v>191</v>
      </c>
      <c r="C43" s="130">
        <v>0.55000000000000004</v>
      </c>
      <c r="D43" s="130">
        <v>0.45</v>
      </c>
      <c r="E43" s="130">
        <v>0.35</v>
      </c>
      <c r="F43" s="130">
        <v>0.25</v>
      </c>
      <c r="G43" s="130">
        <v>0.28000000000000003</v>
      </c>
      <c r="H43" s="5"/>
      <c r="I43" s="5"/>
    </row>
    <row r="44" spans="1:9" ht="15" customHeight="1" x14ac:dyDescent="0.3">
      <c r="A44" s="5"/>
      <c r="B44" s="129" t="s">
        <v>192</v>
      </c>
      <c r="C44" s="130">
        <v>0.5</v>
      </c>
      <c r="D44" s="130">
        <v>0.4</v>
      </c>
      <c r="E44" s="130">
        <v>0.3</v>
      </c>
      <c r="F44" s="130">
        <v>0.24</v>
      </c>
      <c r="G44" s="130">
        <v>0.27</v>
      </c>
      <c r="H44" s="5"/>
      <c r="I44" s="5"/>
    </row>
    <row r="45" spans="1:9" ht="15" customHeight="1" x14ac:dyDescent="0.3">
      <c r="A45" s="5"/>
      <c r="B45" s="129" t="s">
        <v>193</v>
      </c>
      <c r="C45" s="130">
        <v>0.35</v>
      </c>
      <c r="D45" s="130">
        <v>0.3</v>
      </c>
      <c r="E45" s="130">
        <v>0.25</v>
      </c>
      <c r="F45" s="130">
        <v>0.22</v>
      </c>
      <c r="G45" s="130">
        <v>0.24</v>
      </c>
      <c r="H45" s="5"/>
      <c r="I45" s="5"/>
    </row>
    <row r="46" spans="1:9" ht="15" customHeight="1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ht="15" customHeight="1" x14ac:dyDescent="0.25">
      <c r="A48" s="20" t="s">
        <v>194</v>
      </c>
      <c r="B48" s="21"/>
      <c r="C48" s="21"/>
      <c r="D48" s="21"/>
      <c r="E48" s="21"/>
      <c r="F48" s="21"/>
      <c r="G48" s="21"/>
      <c r="H48" s="21"/>
      <c r="I48" s="21"/>
    </row>
    <row r="49" spans="1:9" ht="15" customHeight="1" x14ac:dyDescent="0.25">
      <c r="A49" s="5"/>
      <c r="B49" s="13" t="s">
        <v>189</v>
      </c>
      <c r="C49" s="13" t="s">
        <v>195</v>
      </c>
      <c r="D49" s="5"/>
      <c r="E49" s="5"/>
      <c r="F49" s="5"/>
      <c r="G49" s="5"/>
      <c r="H49" s="5"/>
      <c r="I49" s="5"/>
    </row>
    <row r="50" spans="1:9" ht="15" customHeight="1" x14ac:dyDescent="0.3">
      <c r="A50" s="5"/>
      <c r="B50" s="129" t="s">
        <v>190</v>
      </c>
      <c r="C50" s="14">
        <v>0.03</v>
      </c>
      <c r="D50" s="5"/>
      <c r="E50" s="5"/>
      <c r="F50" s="5"/>
      <c r="G50" s="5"/>
      <c r="H50" s="5"/>
      <c r="I50" s="5"/>
    </row>
    <row r="51" spans="1:9" ht="15" customHeight="1" x14ac:dyDescent="0.3">
      <c r="A51" s="5"/>
      <c r="B51" s="129" t="s">
        <v>191</v>
      </c>
      <c r="C51" s="14">
        <v>0.05</v>
      </c>
      <c r="D51" s="5"/>
      <c r="E51" s="5"/>
      <c r="F51" s="5"/>
      <c r="G51" s="5"/>
      <c r="H51" s="5"/>
      <c r="I51" s="5"/>
    </row>
    <row r="52" spans="1:9" ht="15" customHeight="1" x14ac:dyDescent="0.3">
      <c r="A52" s="5"/>
      <c r="B52" s="129" t="s">
        <v>192</v>
      </c>
      <c r="C52" s="14">
        <v>0.1</v>
      </c>
      <c r="D52" s="5"/>
      <c r="E52" s="5"/>
      <c r="F52" s="5"/>
      <c r="G52" s="5"/>
      <c r="H52" s="5"/>
      <c r="I52" s="5"/>
    </row>
    <row r="53" spans="1:9" ht="15" customHeight="1" x14ac:dyDescent="0.3">
      <c r="A53" s="5"/>
      <c r="B53" s="129" t="s">
        <v>193</v>
      </c>
      <c r="C53" s="14">
        <v>0.14000000000000001</v>
      </c>
      <c r="D53" s="5"/>
      <c r="E53" s="5"/>
      <c r="F53" s="5"/>
      <c r="G53" s="5"/>
      <c r="H53" s="5"/>
      <c r="I53" s="5"/>
    </row>
    <row r="54" spans="1:9" ht="15" customHeight="1" x14ac:dyDescent="0.3">
      <c r="A54" s="5"/>
      <c r="B54" s="129"/>
      <c r="C54" s="5"/>
      <c r="D54" s="5"/>
      <c r="E54" s="5"/>
      <c r="F54" s="5"/>
      <c r="G54" s="5"/>
      <c r="H54" s="5"/>
      <c r="I54" s="5"/>
    </row>
    <row r="55" spans="1:9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5" customHeight="1" x14ac:dyDescent="0.25">
      <c r="A56" s="20" t="s">
        <v>196</v>
      </c>
      <c r="B56" s="21"/>
      <c r="C56" s="21"/>
      <c r="D56" s="21"/>
      <c r="E56" s="21"/>
      <c r="F56" s="21"/>
      <c r="G56" s="21"/>
      <c r="H56" s="21"/>
      <c r="I56" s="21"/>
    </row>
    <row r="57" spans="1:9" ht="15" customHeight="1" x14ac:dyDescent="0.25">
      <c r="A57" s="5"/>
      <c r="B57" s="13" t="s">
        <v>197</v>
      </c>
      <c r="C57" s="13" t="s">
        <v>198</v>
      </c>
      <c r="D57" s="5"/>
      <c r="E57" s="5"/>
      <c r="F57" s="5"/>
      <c r="G57" s="5"/>
      <c r="H57" s="5"/>
      <c r="I57" s="5"/>
    </row>
    <row r="58" spans="1:9" ht="15" customHeight="1" x14ac:dyDescent="0.3">
      <c r="A58" s="5"/>
      <c r="B58" s="129" t="s">
        <v>199</v>
      </c>
      <c r="C58" s="129">
        <v>2</v>
      </c>
      <c r="D58" s="5"/>
      <c r="E58" s="5"/>
      <c r="F58" s="5"/>
      <c r="G58" s="5"/>
      <c r="H58" s="5"/>
      <c r="I58" s="5"/>
    </row>
    <row r="59" spans="1:9" ht="15" customHeight="1" x14ac:dyDescent="0.3">
      <c r="A59" s="5"/>
      <c r="B59" s="129" t="s">
        <v>200</v>
      </c>
      <c r="C59" s="129">
        <v>4</v>
      </c>
      <c r="D59" s="5"/>
      <c r="E59" s="5"/>
      <c r="F59" s="5"/>
      <c r="G59" s="5"/>
      <c r="H59" s="5"/>
      <c r="I59" s="5"/>
    </row>
    <row r="60" spans="1:9" ht="15" customHeight="1" x14ac:dyDescent="0.3">
      <c r="A60" s="5"/>
      <c r="B60" s="129" t="s">
        <v>201</v>
      </c>
      <c r="C60" s="129">
        <v>2</v>
      </c>
      <c r="D60" s="5"/>
      <c r="E60" s="5"/>
      <c r="F60" s="5"/>
      <c r="G60" s="5"/>
      <c r="H60" s="5"/>
      <c r="I60" s="5"/>
    </row>
    <row r="61" spans="1:9" ht="15" customHeight="1" x14ac:dyDescent="0.3">
      <c r="A61" s="5"/>
      <c r="B61" s="129" t="s">
        <v>202</v>
      </c>
      <c r="C61" s="129">
        <v>2</v>
      </c>
      <c r="D61" s="5"/>
      <c r="E61" s="5"/>
      <c r="F61" s="5"/>
      <c r="G61" s="5"/>
      <c r="H61" s="5"/>
      <c r="I61" s="5"/>
    </row>
    <row r="62" spans="1:9" ht="15" customHeight="1" x14ac:dyDescent="0.3">
      <c r="A62" s="5"/>
      <c r="B62" s="129" t="s">
        <v>203</v>
      </c>
      <c r="C62" s="129">
        <v>1</v>
      </c>
      <c r="D62" s="5"/>
      <c r="E62" s="5"/>
      <c r="F62" s="5"/>
      <c r="G62" s="5"/>
      <c r="H62" s="5"/>
      <c r="I62" s="5"/>
    </row>
    <row r="63" spans="1:9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5" customHeight="1" x14ac:dyDescent="0.25">
      <c r="A64" s="20" t="s">
        <v>204</v>
      </c>
      <c r="B64" s="21"/>
      <c r="C64" s="21"/>
      <c r="D64" s="21"/>
      <c r="E64" s="21"/>
      <c r="F64" s="21"/>
      <c r="G64" s="21"/>
      <c r="H64" s="21"/>
      <c r="I64" s="21"/>
    </row>
    <row r="65" spans="1:9" ht="15" customHeight="1" x14ac:dyDescent="0.3">
      <c r="A65" s="5"/>
      <c r="B65" s="129" t="s">
        <v>205</v>
      </c>
      <c r="C65" s="130">
        <v>0.1</v>
      </c>
      <c r="D65" s="130" t="s">
        <v>125</v>
      </c>
      <c r="E65" s="129" t="s">
        <v>206</v>
      </c>
      <c r="F65" s="14"/>
      <c r="G65" s="14"/>
      <c r="H65" s="5"/>
      <c r="I65" s="5"/>
    </row>
    <row r="66" spans="1:9" ht="15" customHeight="1" x14ac:dyDescent="0.3">
      <c r="A66" s="5"/>
      <c r="B66" s="129"/>
      <c r="C66" s="130"/>
      <c r="D66" s="130"/>
      <c r="E66" s="130"/>
      <c r="F66" s="130"/>
      <c r="G66" s="130"/>
    </row>
    <row r="67" spans="1:9" ht="15" customHeight="1" x14ac:dyDescent="0.3">
      <c r="A67" s="5"/>
      <c r="B67" s="129"/>
      <c r="C67" s="130"/>
      <c r="D67" s="130"/>
      <c r="E67" s="130"/>
      <c r="F67" s="130"/>
      <c r="G67" s="130"/>
    </row>
    <row r="68" spans="1:9" ht="15" customHeight="1" x14ac:dyDescent="0.3">
      <c r="A68" s="4" t="s">
        <v>207</v>
      </c>
      <c r="B68" s="129"/>
      <c r="C68" s="130"/>
      <c r="D68" s="130"/>
      <c r="E68" s="130"/>
      <c r="F68" s="130"/>
      <c r="G68" s="130"/>
    </row>
    <row r="69" spans="1:9" ht="15" customHeight="1" x14ac:dyDescent="0.25">
      <c r="A69" s="5"/>
      <c r="B69" s="131" t="s">
        <v>189</v>
      </c>
      <c r="C69" s="131">
        <v>2026</v>
      </c>
      <c r="D69" s="131">
        <v>2027</v>
      </c>
      <c r="E69" s="131">
        <v>2028</v>
      </c>
      <c r="F69" s="131">
        <v>2029</v>
      </c>
      <c r="G69" s="131">
        <v>2030</v>
      </c>
    </row>
    <row r="70" spans="1:9" ht="15" customHeight="1" x14ac:dyDescent="0.3">
      <c r="A70" s="5"/>
      <c r="B70" s="129" t="s">
        <v>190</v>
      </c>
      <c r="C70" s="130">
        <v>0.02</v>
      </c>
      <c r="D70" s="130">
        <v>0.02</v>
      </c>
      <c r="E70" s="14">
        <v>0.02</v>
      </c>
      <c r="F70" s="14">
        <v>0.02</v>
      </c>
      <c r="G70" s="14">
        <v>0.02</v>
      </c>
    </row>
    <row r="71" spans="1:9" ht="15" customHeight="1" x14ac:dyDescent="0.3">
      <c r="A71" s="5"/>
      <c r="B71" s="129" t="s">
        <v>191</v>
      </c>
      <c r="C71" s="130">
        <v>0.03</v>
      </c>
      <c r="D71" s="130">
        <v>0.03</v>
      </c>
      <c r="E71" s="130">
        <v>0.04</v>
      </c>
      <c r="F71" s="130">
        <v>0.04</v>
      </c>
      <c r="G71" s="130">
        <v>0.04</v>
      </c>
    </row>
    <row r="72" spans="1:9" ht="15" customHeight="1" x14ac:dyDescent="0.3">
      <c r="A72" s="5"/>
      <c r="B72" s="129" t="s">
        <v>192</v>
      </c>
      <c r="C72" s="130">
        <v>0.05</v>
      </c>
      <c r="D72" s="130">
        <v>0.05</v>
      </c>
      <c r="E72" s="130">
        <v>0.06</v>
      </c>
      <c r="F72" s="130">
        <v>0.06</v>
      </c>
      <c r="G72" s="130">
        <v>0.06</v>
      </c>
    </row>
    <row r="73" spans="1:9" ht="15" customHeight="1" x14ac:dyDescent="0.3">
      <c r="A73" s="5"/>
      <c r="B73" s="129" t="s">
        <v>193</v>
      </c>
      <c r="C73" s="130">
        <v>0.06</v>
      </c>
      <c r="D73" s="130">
        <v>7.0000000000000007E-2</v>
      </c>
      <c r="E73" s="130">
        <v>0.08</v>
      </c>
      <c r="F73" s="130">
        <v>0.08</v>
      </c>
      <c r="G73" s="130">
        <v>0.08</v>
      </c>
    </row>
    <row r="74" spans="1:9" ht="15" customHeight="1" x14ac:dyDescent="0.25">
      <c r="A74" s="5"/>
      <c r="B74" s="5"/>
      <c r="C74" s="5"/>
      <c r="D74" s="5"/>
      <c r="E74" s="5"/>
      <c r="F74" s="5"/>
    </row>
    <row r="75" spans="1:9" ht="15" customHeight="1" x14ac:dyDescent="0.25">
      <c r="A75" s="5"/>
      <c r="B75" s="5"/>
      <c r="C75" s="5"/>
      <c r="D75" s="5"/>
      <c r="E75" s="5"/>
      <c r="F75" s="5"/>
    </row>
    <row r="76" spans="1:9" ht="15" customHeight="1" x14ac:dyDescent="0.25">
      <c r="A76" s="4" t="s">
        <v>208</v>
      </c>
    </row>
    <row r="77" spans="1:9" ht="15" customHeight="1" x14ac:dyDescent="0.25">
      <c r="A77" s="5"/>
      <c r="B77" s="131" t="s">
        <v>189</v>
      </c>
      <c r="C77" s="131">
        <v>2026</v>
      </c>
      <c r="D77" s="131">
        <v>2027</v>
      </c>
      <c r="E77" s="131">
        <v>2028</v>
      </c>
      <c r="F77" s="131">
        <v>2029</v>
      </c>
      <c r="G77" s="131">
        <v>2030</v>
      </c>
    </row>
    <row r="78" spans="1:9" ht="15" customHeight="1" x14ac:dyDescent="0.3">
      <c r="A78" s="5"/>
      <c r="B78" s="129" t="s">
        <v>190</v>
      </c>
      <c r="C78" s="130">
        <v>1</v>
      </c>
      <c r="D78" s="130">
        <v>0.98</v>
      </c>
      <c r="E78" s="14">
        <v>0.96</v>
      </c>
      <c r="F78" s="14">
        <v>0.95</v>
      </c>
      <c r="G78" s="14">
        <v>0.95</v>
      </c>
    </row>
    <row r="79" spans="1:9" ht="15" customHeight="1" x14ac:dyDescent="0.3">
      <c r="A79" s="5"/>
      <c r="B79" s="129" t="s">
        <v>191</v>
      </c>
      <c r="C79" s="130">
        <v>1</v>
      </c>
      <c r="D79" s="130">
        <v>0.96</v>
      </c>
      <c r="E79" s="130">
        <v>0.93</v>
      </c>
      <c r="F79" s="130">
        <v>0.9</v>
      </c>
      <c r="G79" s="130">
        <v>0.88</v>
      </c>
    </row>
    <row r="80" spans="1:9" ht="15" customHeight="1" x14ac:dyDescent="0.3">
      <c r="A80" s="5"/>
      <c r="B80" s="129" t="s">
        <v>192</v>
      </c>
      <c r="C80" s="130">
        <v>1</v>
      </c>
      <c r="D80" s="130">
        <v>0.95</v>
      </c>
      <c r="E80" s="130">
        <v>0.91</v>
      </c>
      <c r="F80" s="130">
        <v>0.88</v>
      </c>
      <c r="G80" s="130">
        <v>0.85</v>
      </c>
    </row>
    <row r="81" spans="1:7" ht="15" customHeight="1" x14ac:dyDescent="0.3">
      <c r="A81" s="5"/>
      <c r="B81" s="129" t="s">
        <v>193</v>
      </c>
      <c r="C81" s="130">
        <v>1</v>
      </c>
      <c r="D81" s="130">
        <v>0.97</v>
      </c>
      <c r="E81" s="130">
        <v>0.95</v>
      </c>
      <c r="F81" s="130">
        <v>0.93</v>
      </c>
      <c r="G81" s="130">
        <v>0.9</v>
      </c>
    </row>
    <row r="82" spans="1:7" x14ac:dyDescent="0.25"/>
    <row r="83" spans="1:7" x14ac:dyDescent="0.25"/>
    <row r="84" spans="1:7" ht="15" customHeight="1" x14ac:dyDescent="0.25">
      <c r="A84" s="4" t="s">
        <v>209</v>
      </c>
    </row>
    <row r="85" spans="1:7" ht="15" customHeight="1" x14ac:dyDescent="0.25">
      <c r="A85" s="5"/>
      <c r="B85" s="131" t="s">
        <v>189</v>
      </c>
      <c r="C85" s="131">
        <v>2026</v>
      </c>
      <c r="D85" s="131">
        <v>2027</v>
      </c>
      <c r="E85" s="131">
        <v>2028</v>
      </c>
      <c r="F85" s="131">
        <v>2029</v>
      </c>
      <c r="G85" s="131">
        <v>2030</v>
      </c>
    </row>
    <row r="86" spans="1:7" ht="15" customHeight="1" x14ac:dyDescent="0.3">
      <c r="A86" s="5"/>
      <c r="B86" s="129" t="s">
        <v>190</v>
      </c>
      <c r="C86" s="130">
        <v>0.95</v>
      </c>
      <c r="D86" s="130">
        <v>0.9</v>
      </c>
      <c r="E86" s="14">
        <v>0.9</v>
      </c>
      <c r="F86" s="14">
        <v>0.95</v>
      </c>
      <c r="G86" s="14">
        <v>1</v>
      </c>
    </row>
    <row r="87" spans="1:7" ht="15" customHeight="1" x14ac:dyDescent="0.3">
      <c r="A87" s="5"/>
      <c r="B87" s="129" t="s">
        <v>191</v>
      </c>
      <c r="C87" s="130">
        <v>0.95</v>
      </c>
      <c r="D87" s="130">
        <v>0.9</v>
      </c>
      <c r="E87" s="130">
        <v>0.9</v>
      </c>
      <c r="F87" s="130">
        <v>0.95</v>
      </c>
      <c r="G87" s="130">
        <v>1</v>
      </c>
    </row>
    <row r="88" spans="1:7" ht="15" customHeight="1" x14ac:dyDescent="0.3">
      <c r="A88" s="5"/>
      <c r="B88" s="129" t="s">
        <v>192</v>
      </c>
      <c r="C88" s="130">
        <v>0.98</v>
      </c>
      <c r="D88" s="130">
        <v>0.95</v>
      </c>
      <c r="E88" s="130">
        <v>0.95</v>
      </c>
      <c r="F88" s="130">
        <v>1</v>
      </c>
      <c r="G88" s="130">
        <v>1.03</v>
      </c>
    </row>
    <row r="89" spans="1:7" ht="15" customHeight="1" x14ac:dyDescent="0.3">
      <c r="A89" s="5"/>
      <c r="B89" s="129" t="s">
        <v>193</v>
      </c>
      <c r="C89" s="130">
        <v>1</v>
      </c>
      <c r="D89" s="130">
        <v>0.98</v>
      </c>
      <c r="E89" s="130">
        <v>0.98</v>
      </c>
      <c r="F89" s="130">
        <v>1</v>
      </c>
      <c r="G89" s="130">
        <v>1.03</v>
      </c>
    </row>
    <row r="90" spans="1:7" x14ac:dyDescent="0.25"/>
    <row r="91" spans="1:7" x14ac:dyDescent="0.25"/>
    <row r="92" spans="1:7" ht="15" customHeight="1" x14ac:dyDescent="0.25">
      <c r="A92" s="4" t="s">
        <v>210</v>
      </c>
    </row>
    <row r="93" spans="1:7" ht="15" customHeight="1" x14ac:dyDescent="0.25">
      <c r="A93" s="5"/>
      <c r="B93" s="131" t="s">
        <v>189</v>
      </c>
      <c r="C93" s="131">
        <v>2026</v>
      </c>
      <c r="D93" s="131">
        <v>2027</v>
      </c>
      <c r="E93" s="131">
        <v>2028</v>
      </c>
      <c r="F93" s="131">
        <v>2029</v>
      </c>
      <c r="G93" s="131">
        <v>2030</v>
      </c>
    </row>
    <row r="94" spans="1:7" ht="15" customHeight="1" x14ac:dyDescent="0.3">
      <c r="A94" s="5"/>
      <c r="B94" s="129" t="s">
        <v>190</v>
      </c>
      <c r="C94" s="130">
        <v>0.01</v>
      </c>
      <c r="D94" s="130">
        <v>0.01</v>
      </c>
      <c r="E94" s="14">
        <v>0.01</v>
      </c>
      <c r="F94" s="14">
        <v>0.01</v>
      </c>
      <c r="G94" s="14">
        <v>0.01</v>
      </c>
    </row>
    <row r="95" spans="1:7" ht="15" customHeight="1" x14ac:dyDescent="0.3">
      <c r="A95" s="5"/>
      <c r="B95" s="129" t="s">
        <v>191</v>
      </c>
      <c r="C95" s="130">
        <v>0.02</v>
      </c>
      <c r="D95" s="130">
        <v>0.02</v>
      </c>
      <c r="E95" s="130">
        <v>0.02</v>
      </c>
      <c r="F95" s="130">
        <v>2.5000000000000001E-2</v>
      </c>
      <c r="G95" s="130">
        <v>2.5000000000000001E-2</v>
      </c>
    </row>
    <row r="96" spans="1:7" ht="15" customHeight="1" x14ac:dyDescent="0.3">
      <c r="A96" s="5"/>
      <c r="B96" s="129" t="s">
        <v>192</v>
      </c>
      <c r="C96" s="130">
        <v>0.04</v>
      </c>
      <c r="D96" s="130">
        <v>0.04</v>
      </c>
      <c r="E96" s="130">
        <v>0.05</v>
      </c>
      <c r="F96" s="130">
        <v>0.05</v>
      </c>
      <c r="G96" s="130">
        <v>0.06</v>
      </c>
    </row>
    <row r="97" spans="1:7" ht="15" customHeight="1" x14ac:dyDescent="0.3">
      <c r="A97" s="5"/>
      <c r="B97" s="129" t="s">
        <v>193</v>
      </c>
      <c r="C97" s="130">
        <v>0.05</v>
      </c>
      <c r="D97" s="130">
        <v>0.06</v>
      </c>
      <c r="E97" s="130">
        <v>0.06</v>
      </c>
      <c r="F97" s="130">
        <v>7.0000000000000007E-2</v>
      </c>
      <c r="G97" s="130">
        <v>0.08</v>
      </c>
    </row>
    <row r="98" spans="1:7" x14ac:dyDescent="0.25"/>
    <row r="99" spans="1:7" ht="15" customHeight="1" x14ac:dyDescent="0.25">
      <c r="A99" s="4" t="s">
        <v>211</v>
      </c>
    </row>
    <row r="100" spans="1:7" ht="15" customHeight="1" x14ac:dyDescent="0.25">
      <c r="A100" s="5"/>
      <c r="B100" s="131" t="s">
        <v>115</v>
      </c>
      <c r="C100" s="131" t="s">
        <v>116</v>
      </c>
      <c r="D100" s="131" t="s">
        <v>92</v>
      </c>
      <c r="E100" s="131" t="s">
        <v>117</v>
      </c>
      <c r="F100" s="131"/>
      <c r="G100" s="131"/>
    </row>
    <row r="101" spans="1:7" ht="15" customHeight="1" x14ac:dyDescent="0.3">
      <c r="A101" s="129" t="s">
        <v>212</v>
      </c>
      <c r="B101" s="129" t="s">
        <v>213</v>
      </c>
      <c r="C101" s="15">
        <v>6</v>
      </c>
      <c r="D101" s="129" t="s">
        <v>214</v>
      </c>
      <c r="E101" s="129" t="s">
        <v>215</v>
      </c>
    </row>
    <row r="102" spans="1:7" ht="15" customHeight="1" x14ac:dyDescent="0.3">
      <c r="A102" s="129" t="s">
        <v>212</v>
      </c>
      <c r="B102" s="129" t="s">
        <v>216</v>
      </c>
      <c r="C102" s="9">
        <v>0.1</v>
      </c>
      <c r="D102" s="129" t="s">
        <v>125</v>
      </c>
      <c r="E102" s="129" t="s">
        <v>217</v>
      </c>
    </row>
    <row r="103" spans="1:7" ht="15" customHeight="1" x14ac:dyDescent="0.3">
      <c r="A103" s="129" t="s">
        <v>212</v>
      </c>
      <c r="B103" s="129" t="s">
        <v>218</v>
      </c>
      <c r="C103" s="9">
        <v>0.25</v>
      </c>
      <c r="D103" s="129" t="s">
        <v>125</v>
      </c>
      <c r="E103" s="129" t="s">
        <v>219</v>
      </c>
    </row>
    <row r="104" spans="1:7" ht="15" customHeight="1" x14ac:dyDescent="0.3">
      <c r="A104" s="129" t="s">
        <v>212</v>
      </c>
      <c r="B104" s="129" t="s">
        <v>220</v>
      </c>
      <c r="C104" s="9">
        <v>0.8</v>
      </c>
      <c r="D104" s="129" t="s">
        <v>125</v>
      </c>
      <c r="E104" s="129" t="s">
        <v>221</v>
      </c>
    </row>
    <row r="105" spans="1:7" ht="15" customHeight="1" x14ac:dyDescent="0.3">
      <c r="A105" s="129" t="s">
        <v>212</v>
      </c>
      <c r="B105" s="129" t="s">
        <v>222</v>
      </c>
      <c r="C105" s="9">
        <v>1</v>
      </c>
      <c r="D105" s="129" t="s">
        <v>125</v>
      </c>
      <c r="E105" s="129" t="s">
        <v>223</v>
      </c>
    </row>
    <row r="106" spans="1:7" ht="15" customHeight="1" x14ac:dyDescent="0.3">
      <c r="A106" s="129" t="s">
        <v>212</v>
      </c>
      <c r="B106" s="129" t="s">
        <v>224</v>
      </c>
      <c r="C106" s="15">
        <v>80</v>
      </c>
      <c r="D106" s="129" t="s">
        <v>225</v>
      </c>
      <c r="E106" s="129" t="s">
        <v>226</v>
      </c>
    </row>
    <row r="107" spans="1:7" ht="15" customHeight="1" x14ac:dyDescent="0.3">
      <c r="A107" s="129" t="s">
        <v>212</v>
      </c>
      <c r="B107" s="129" t="s">
        <v>227</v>
      </c>
      <c r="C107" s="12">
        <v>0.1</v>
      </c>
      <c r="D107" s="129" t="s">
        <v>182</v>
      </c>
      <c r="E107" s="129" t="s">
        <v>228</v>
      </c>
    </row>
    <row r="108" spans="1:7" ht="15" customHeight="1" x14ac:dyDescent="0.3">
      <c r="A108" s="129" t="s">
        <v>212</v>
      </c>
      <c r="B108" s="129" t="s">
        <v>229</v>
      </c>
      <c r="C108" s="12">
        <v>0.35</v>
      </c>
      <c r="D108" s="129" t="s">
        <v>182</v>
      </c>
      <c r="E108" s="129" t="s">
        <v>230</v>
      </c>
    </row>
    <row r="109" spans="1:7" ht="15" customHeight="1" x14ac:dyDescent="0.3">
      <c r="A109" s="129" t="s">
        <v>212</v>
      </c>
      <c r="B109" s="129" t="s">
        <v>231</v>
      </c>
      <c r="C109" s="12">
        <v>1</v>
      </c>
      <c r="D109" s="129" t="s">
        <v>182</v>
      </c>
      <c r="E109" s="129" t="s">
        <v>232</v>
      </c>
    </row>
    <row r="110" spans="1:7" ht="15" customHeight="1" x14ac:dyDescent="0.3">
      <c r="A110" s="129" t="s">
        <v>212</v>
      </c>
      <c r="B110" s="129" t="s">
        <v>233</v>
      </c>
      <c r="C110" s="12">
        <v>2.5</v>
      </c>
      <c r="D110" s="129" t="s">
        <v>182</v>
      </c>
      <c r="E110" s="129" t="s">
        <v>234</v>
      </c>
    </row>
    <row r="111" spans="1:7" ht="15" customHeight="1" x14ac:dyDescent="0.3">
      <c r="A111" s="129"/>
      <c r="B111" s="129"/>
      <c r="D111" s="129"/>
      <c r="E111" s="129"/>
    </row>
    <row r="112" spans="1:7" ht="15" customHeight="1" x14ac:dyDescent="0.25">
      <c r="A112" s="7"/>
      <c r="B112" s="7"/>
      <c r="C112" s="7"/>
      <c r="D112" s="7"/>
      <c r="E112" s="7"/>
      <c r="F112" s="7"/>
      <c r="G112" s="7"/>
    </row>
    <row r="113" spans="1:7" ht="15" customHeight="1" x14ac:dyDescent="0.3">
      <c r="A113" s="129"/>
      <c r="B113" s="129"/>
      <c r="D113" s="129"/>
      <c r="E113" s="129"/>
    </row>
    <row r="114" spans="1:7" ht="15" customHeight="1" x14ac:dyDescent="0.3">
      <c r="A114" s="129"/>
      <c r="B114" s="129"/>
      <c r="D114" s="129"/>
      <c r="E114" s="129"/>
    </row>
    <row r="115" spans="1:7" ht="15" customHeight="1" x14ac:dyDescent="0.3">
      <c r="A115" s="129"/>
      <c r="B115" s="129"/>
      <c r="C115" s="18"/>
      <c r="D115" s="129"/>
      <c r="E115" s="129"/>
      <c r="F115" s="18"/>
      <c r="G115" s="18"/>
    </row>
    <row r="116" spans="1:7" ht="15" customHeight="1" x14ac:dyDescent="0.3">
      <c r="A116" s="129"/>
      <c r="B116" s="129"/>
      <c r="C116" s="18"/>
      <c r="D116" s="129"/>
      <c r="E116" s="129"/>
      <c r="F116" s="18"/>
      <c r="G116" s="18"/>
    </row>
    <row r="117" spans="1:7" ht="15" customHeight="1" x14ac:dyDescent="0.3">
      <c r="A117" s="129"/>
      <c r="B117" s="129"/>
      <c r="C117" s="18"/>
      <c r="D117" s="129"/>
      <c r="E117" s="129"/>
      <c r="F117" s="18"/>
      <c r="G117" s="18"/>
    </row>
    <row r="118" spans="1:7" ht="15" customHeight="1" x14ac:dyDescent="0.3">
      <c r="A118" s="129"/>
      <c r="B118" s="129"/>
      <c r="C118" s="18"/>
      <c r="D118" s="129"/>
      <c r="E118" s="129"/>
      <c r="F118" s="18"/>
      <c r="G118" s="18"/>
    </row>
    <row r="119" spans="1:7" ht="15" customHeight="1" x14ac:dyDescent="0.3">
      <c r="A119" s="129"/>
      <c r="B119" s="129"/>
      <c r="C119" s="18"/>
      <c r="D119" s="129"/>
      <c r="E119" s="129"/>
      <c r="F119" s="18"/>
      <c r="G119" s="18"/>
    </row>
    <row r="120" spans="1:7" ht="15" customHeight="1" x14ac:dyDescent="0.3">
      <c r="A120" s="129"/>
      <c r="B120" s="129"/>
      <c r="C120" s="18"/>
      <c r="D120" s="129"/>
      <c r="E120" s="129"/>
      <c r="F120" s="18"/>
      <c r="G120" s="18"/>
    </row>
  </sheetData>
  <mergeCells count="5">
    <mergeCell ref="A64:I64"/>
    <mergeCell ref="A40:I40"/>
    <mergeCell ref="A56:I56"/>
    <mergeCell ref="A1:E1"/>
    <mergeCell ref="A48:I48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showGridLines="0" topLeftCell="A26" zoomScaleNormal="100" workbookViewId="0">
      <selection activeCell="A40" sqref="A40:F40"/>
    </sheetView>
  </sheetViews>
  <sheetFormatPr defaultColWidth="8.7109375" defaultRowHeight="15" customHeight="1" x14ac:dyDescent="0.3"/>
  <cols>
    <col min="1" max="1" width="19.28515625" style="124" customWidth="1"/>
    <col min="2" max="2" width="17.85546875" style="124" customWidth="1"/>
    <col min="3" max="3" width="19.140625" style="124" customWidth="1"/>
    <col min="4" max="4" width="34.28515625" style="124" customWidth="1"/>
    <col min="5" max="5" width="26.85546875" style="124" customWidth="1"/>
    <col min="6" max="6" width="31.7109375" style="124" customWidth="1"/>
    <col min="7" max="16384" width="8.7109375" style="107"/>
  </cols>
  <sheetData>
    <row r="1" spans="1:6" ht="15" customHeight="1" x14ac:dyDescent="0.3">
      <c r="A1" s="106" t="s">
        <v>235</v>
      </c>
      <c r="B1" s="97"/>
      <c r="C1" s="97"/>
      <c r="D1" s="97"/>
      <c r="E1" s="97"/>
      <c r="F1" s="97"/>
    </row>
    <row r="2" spans="1:6" ht="36.75" customHeight="1" x14ac:dyDescent="0.3">
      <c r="A2" s="108" t="s">
        <v>1</v>
      </c>
      <c r="B2" s="96" t="s">
        <v>236</v>
      </c>
      <c r="C2" s="97"/>
      <c r="D2" s="97"/>
      <c r="E2" s="97"/>
      <c r="F2" s="97"/>
    </row>
    <row r="3" spans="1:6" ht="15" customHeight="1" x14ac:dyDescent="0.3">
      <c r="A3" s="109"/>
      <c r="B3" s="100"/>
      <c r="C3" s="100"/>
      <c r="D3" s="100"/>
      <c r="E3" s="100"/>
      <c r="F3" s="100"/>
    </row>
    <row r="4" spans="1:6" ht="15" customHeight="1" x14ac:dyDescent="0.3">
      <c r="A4" s="98" t="s">
        <v>237</v>
      </c>
      <c r="B4" s="99"/>
      <c r="C4" s="99"/>
      <c r="D4" s="99"/>
      <c r="E4" s="99"/>
      <c r="F4" s="99"/>
    </row>
    <row r="5" spans="1:6" ht="28.5" customHeight="1" x14ac:dyDescent="0.3">
      <c r="A5" s="125" t="s">
        <v>189</v>
      </c>
      <c r="B5" s="126" t="s">
        <v>238</v>
      </c>
      <c r="C5" s="125" t="s">
        <v>239</v>
      </c>
      <c r="D5" s="127" t="s">
        <v>240</v>
      </c>
      <c r="E5" s="128"/>
      <c r="F5" s="125"/>
    </row>
    <row r="6" spans="1:6" ht="30" customHeight="1" x14ac:dyDescent="0.3">
      <c r="A6" s="100" t="s">
        <v>190</v>
      </c>
      <c r="B6" s="101">
        <v>190</v>
      </c>
      <c r="C6" s="102">
        <f>B6*12</f>
        <v>2280</v>
      </c>
      <c r="D6" s="103" t="s">
        <v>241</v>
      </c>
      <c r="E6" s="97"/>
      <c r="F6" s="97"/>
    </row>
    <row r="7" spans="1:6" ht="15" customHeight="1" x14ac:dyDescent="0.3">
      <c r="A7" s="100" t="s">
        <v>191</v>
      </c>
      <c r="B7" s="101">
        <v>390</v>
      </c>
      <c r="C7" s="102">
        <f>B7*12</f>
        <v>4680</v>
      </c>
      <c r="D7" s="103" t="s">
        <v>241</v>
      </c>
      <c r="E7" s="97"/>
      <c r="F7" s="97"/>
    </row>
    <row r="8" spans="1:6" ht="15" customHeight="1" x14ac:dyDescent="0.3">
      <c r="A8" s="100" t="s">
        <v>192</v>
      </c>
      <c r="B8" s="101">
        <v>790</v>
      </c>
      <c r="C8" s="102">
        <f>B8*12</f>
        <v>9480</v>
      </c>
      <c r="D8" s="103" t="s">
        <v>241</v>
      </c>
      <c r="E8" s="97"/>
      <c r="F8" s="97"/>
    </row>
    <row r="9" spans="1:6" ht="15" customHeight="1" x14ac:dyDescent="0.3">
      <c r="A9" s="100" t="s">
        <v>193</v>
      </c>
      <c r="B9" s="104"/>
      <c r="C9" s="105"/>
      <c r="D9" s="103" t="s">
        <v>242</v>
      </c>
      <c r="E9" s="97"/>
      <c r="F9" s="97"/>
    </row>
    <row r="10" spans="1:6" ht="20.25" customHeight="1" x14ac:dyDescent="0.3">
      <c r="A10" s="98" t="s">
        <v>243</v>
      </c>
      <c r="B10" s="99"/>
      <c r="C10" s="99"/>
      <c r="D10" s="99"/>
      <c r="E10" s="99"/>
      <c r="F10" s="99"/>
    </row>
    <row r="11" spans="1:6" ht="28.5" customHeight="1" x14ac:dyDescent="0.3">
      <c r="A11" s="110" t="s">
        <v>189</v>
      </c>
      <c r="B11" s="110" t="s">
        <v>244</v>
      </c>
      <c r="C11" s="110" t="s">
        <v>245</v>
      </c>
      <c r="D11" s="110" t="s">
        <v>240</v>
      </c>
      <c r="E11" s="110"/>
      <c r="F11" s="110"/>
    </row>
    <row r="12" spans="1:6" ht="15" customHeight="1" x14ac:dyDescent="0.3">
      <c r="A12" s="113" t="s">
        <v>190</v>
      </c>
      <c r="B12" s="114">
        <v>2000</v>
      </c>
      <c r="C12" s="115">
        <v>0.08</v>
      </c>
      <c r="D12" s="103" t="s">
        <v>241</v>
      </c>
      <c r="E12" s="97"/>
      <c r="F12" s="97"/>
    </row>
    <row r="13" spans="1:6" ht="15" customHeight="1" x14ac:dyDescent="0.3">
      <c r="A13" s="100" t="s">
        <v>191</v>
      </c>
      <c r="B13" s="114">
        <v>5000</v>
      </c>
      <c r="C13" s="115">
        <v>0.06</v>
      </c>
      <c r="D13" s="103" t="s">
        <v>241</v>
      </c>
      <c r="E13" s="97"/>
      <c r="F13" s="97"/>
    </row>
    <row r="14" spans="1:6" ht="15" customHeight="1" x14ac:dyDescent="0.3">
      <c r="A14" s="100" t="s">
        <v>192</v>
      </c>
      <c r="B14" s="114">
        <v>10000</v>
      </c>
      <c r="C14" s="115">
        <v>0.05</v>
      </c>
      <c r="D14" s="103" t="s">
        <v>241</v>
      </c>
      <c r="E14" s="97"/>
      <c r="F14" s="97"/>
    </row>
    <row r="15" spans="1:6" ht="15" customHeight="1" x14ac:dyDescent="0.3">
      <c r="A15" s="100" t="s">
        <v>193</v>
      </c>
      <c r="B15" s="116" t="s">
        <v>108</v>
      </c>
      <c r="C15" s="116" t="s">
        <v>108</v>
      </c>
      <c r="D15" s="103" t="s">
        <v>246</v>
      </c>
      <c r="E15" s="97"/>
      <c r="F15" s="97"/>
    </row>
    <row r="16" spans="1:6" ht="15" customHeight="1" x14ac:dyDescent="0.3">
      <c r="A16" s="98" t="s">
        <v>247</v>
      </c>
      <c r="B16" s="99"/>
      <c r="C16" s="99"/>
      <c r="D16" s="99"/>
      <c r="E16" s="99"/>
      <c r="F16" s="99"/>
    </row>
    <row r="17" spans="1:6" ht="15" customHeight="1" x14ac:dyDescent="0.3">
      <c r="A17" s="110" t="s">
        <v>189</v>
      </c>
      <c r="B17" s="110" t="s">
        <v>248</v>
      </c>
      <c r="C17" s="110" t="s">
        <v>117</v>
      </c>
      <c r="D17" s="110"/>
      <c r="E17" s="110"/>
      <c r="F17" s="110"/>
    </row>
    <row r="18" spans="1:6" ht="30" customHeight="1" x14ac:dyDescent="0.3">
      <c r="A18" s="109" t="s">
        <v>190</v>
      </c>
      <c r="B18" s="100" t="s">
        <v>249</v>
      </c>
      <c r="C18" s="96" t="s">
        <v>250</v>
      </c>
      <c r="D18" s="97"/>
      <c r="E18" s="97"/>
      <c r="F18" s="97"/>
    </row>
    <row r="19" spans="1:6" ht="15" customHeight="1" x14ac:dyDescent="0.3">
      <c r="A19" s="113" t="s">
        <v>191</v>
      </c>
      <c r="B19" s="113" t="s">
        <v>128</v>
      </c>
      <c r="C19" s="113" t="s">
        <v>251</v>
      </c>
      <c r="D19" s="113"/>
      <c r="E19" s="113"/>
      <c r="F19" s="113"/>
    </row>
    <row r="20" spans="1:6" ht="15" customHeight="1" x14ac:dyDescent="0.3">
      <c r="A20" s="100" t="s">
        <v>192</v>
      </c>
      <c r="B20" s="117" t="s">
        <v>252</v>
      </c>
      <c r="C20" s="96" t="s">
        <v>253</v>
      </c>
      <c r="D20" s="97"/>
      <c r="E20" s="97"/>
      <c r="F20" s="97"/>
    </row>
    <row r="21" spans="1:6" ht="15" customHeight="1" x14ac:dyDescent="0.3">
      <c r="A21" s="100" t="s">
        <v>193</v>
      </c>
      <c r="B21" s="118" t="s">
        <v>254</v>
      </c>
      <c r="C21" s="96" t="s">
        <v>255</v>
      </c>
      <c r="D21" s="97"/>
      <c r="E21" s="97"/>
      <c r="F21" s="97"/>
    </row>
    <row r="22" spans="1:6" ht="15" customHeight="1" x14ac:dyDescent="0.3">
      <c r="A22" s="98" t="s">
        <v>256</v>
      </c>
      <c r="B22" s="99"/>
      <c r="C22" s="99"/>
      <c r="D22" s="99"/>
      <c r="E22" s="99"/>
      <c r="F22" s="99"/>
    </row>
    <row r="23" spans="1:6" ht="42.75" customHeight="1" x14ac:dyDescent="0.3">
      <c r="A23" s="110" t="s">
        <v>189</v>
      </c>
      <c r="B23" s="111" t="s">
        <v>257</v>
      </c>
      <c r="C23" s="112" t="s">
        <v>258</v>
      </c>
      <c r="D23" s="119" t="s">
        <v>259</v>
      </c>
      <c r="E23" s="119" t="s">
        <v>260</v>
      </c>
      <c r="F23" s="110" t="s">
        <v>261</v>
      </c>
    </row>
    <row r="24" spans="1:6" ht="30" customHeight="1" x14ac:dyDescent="0.3">
      <c r="A24" s="100" t="s">
        <v>190</v>
      </c>
      <c r="B24" s="101">
        <f>B6</f>
        <v>190</v>
      </c>
      <c r="C24" s="120">
        <v>0.08</v>
      </c>
      <c r="D24" s="102">
        <f>B24*(1+C24)</f>
        <v>205.20000000000002</v>
      </c>
      <c r="E24" s="102">
        <f>D24*12</f>
        <v>2462.4</v>
      </c>
      <c r="F24" s="100" t="s">
        <v>262</v>
      </c>
    </row>
    <row r="25" spans="1:6" ht="30" customHeight="1" x14ac:dyDescent="0.3">
      <c r="A25" s="100" t="s">
        <v>191</v>
      </c>
      <c r="B25" s="101">
        <f>B7</f>
        <v>390</v>
      </c>
      <c r="C25" s="120">
        <v>0.1</v>
      </c>
      <c r="D25" s="102">
        <f>B25*(1+C25)</f>
        <v>429.00000000000006</v>
      </c>
      <c r="E25" s="102">
        <f>D25*12</f>
        <v>5148.0000000000009</v>
      </c>
      <c r="F25" s="100" t="s">
        <v>262</v>
      </c>
    </row>
    <row r="26" spans="1:6" ht="30" customHeight="1" x14ac:dyDescent="0.3">
      <c r="A26" s="100" t="s">
        <v>192</v>
      </c>
      <c r="B26" s="101">
        <f>B8</f>
        <v>790</v>
      </c>
      <c r="C26" s="120">
        <v>0.12</v>
      </c>
      <c r="D26" s="102">
        <f>B26*(1+C26)</f>
        <v>884.80000000000007</v>
      </c>
      <c r="E26" s="102">
        <f>D26*12</f>
        <v>10617.6</v>
      </c>
      <c r="F26" s="100" t="s">
        <v>262</v>
      </c>
    </row>
    <row r="27" spans="1:6" ht="30" customHeight="1" x14ac:dyDescent="0.3">
      <c r="A27" s="100" t="s">
        <v>193</v>
      </c>
      <c r="B27" s="101">
        <f>'homie Eingaben'!C37</f>
        <v>3500</v>
      </c>
      <c r="C27" s="120">
        <v>0.15</v>
      </c>
      <c r="D27" s="102">
        <f>B27*(1+C27)</f>
        <v>4024.9999999999995</v>
      </c>
      <c r="E27" s="102">
        <f>D27*12</f>
        <v>48299.999999999993</v>
      </c>
      <c r="F27" s="100" t="s">
        <v>263</v>
      </c>
    </row>
    <row r="28" spans="1:6" ht="15" customHeight="1" x14ac:dyDescent="0.3">
      <c r="A28" s="98" t="s">
        <v>264</v>
      </c>
      <c r="B28" s="99"/>
      <c r="C28" s="99"/>
      <c r="D28" s="99"/>
      <c r="E28" s="99"/>
      <c r="F28" s="99"/>
    </row>
    <row r="29" spans="1:6" ht="28.5" customHeight="1" x14ac:dyDescent="0.3">
      <c r="A29" s="110" t="s">
        <v>189</v>
      </c>
      <c r="B29" s="121" t="s">
        <v>265</v>
      </c>
      <c r="C29" s="110" t="s">
        <v>117</v>
      </c>
      <c r="D29" s="110"/>
      <c r="E29" s="110"/>
      <c r="F29" s="110"/>
    </row>
    <row r="30" spans="1:6" ht="15" customHeight="1" x14ac:dyDescent="0.3">
      <c r="A30" s="100" t="s">
        <v>190</v>
      </c>
      <c r="B30" s="114">
        <v>40</v>
      </c>
      <c r="C30" s="103" t="s">
        <v>159</v>
      </c>
      <c r="D30" s="97"/>
      <c r="E30" s="97"/>
      <c r="F30" s="100"/>
    </row>
    <row r="31" spans="1:6" ht="15" customHeight="1" x14ac:dyDescent="0.3">
      <c r="A31" s="100" t="s">
        <v>191</v>
      </c>
      <c r="B31" s="116">
        <v>30</v>
      </c>
      <c r="C31" s="103" t="s">
        <v>159</v>
      </c>
      <c r="D31" s="97"/>
      <c r="E31" s="97"/>
      <c r="F31" s="100"/>
    </row>
    <row r="32" spans="1:6" ht="15" customHeight="1" x14ac:dyDescent="0.3">
      <c r="A32" s="100" t="s">
        <v>192</v>
      </c>
      <c r="B32" s="116">
        <v>20</v>
      </c>
      <c r="C32" s="103" t="s">
        <v>159</v>
      </c>
      <c r="D32" s="97"/>
      <c r="E32" s="97"/>
      <c r="F32" s="100"/>
    </row>
    <row r="33" spans="1:13" ht="15" customHeight="1" x14ac:dyDescent="0.3">
      <c r="A33" s="100" t="s">
        <v>193</v>
      </c>
      <c r="B33" s="116">
        <v>5</v>
      </c>
      <c r="C33" s="103" t="s">
        <v>159</v>
      </c>
      <c r="D33" s="97"/>
      <c r="E33" s="97"/>
      <c r="F33" s="100"/>
    </row>
    <row r="34" spans="1:13" ht="15" customHeight="1" x14ac:dyDescent="0.3">
      <c r="A34" s="98" t="s">
        <v>266</v>
      </c>
      <c r="B34" s="99"/>
      <c r="C34" s="99"/>
      <c r="D34" s="99"/>
      <c r="E34" s="99"/>
      <c r="F34" s="99"/>
    </row>
    <row r="35" spans="1:13" ht="28.5" customHeight="1" x14ac:dyDescent="0.3">
      <c r="A35" s="110" t="s">
        <v>267</v>
      </c>
      <c r="B35" s="110" t="s">
        <v>268</v>
      </c>
      <c r="C35" s="110" t="s">
        <v>269</v>
      </c>
      <c r="D35" s="110" t="s">
        <v>261</v>
      </c>
      <c r="E35" s="110"/>
      <c r="F35" s="110"/>
    </row>
    <row r="36" spans="1:13" ht="15" customHeight="1" x14ac:dyDescent="0.3">
      <c r="A36" s="100" t="s">
        <v>270</v>
      </c>
      <c r="B36" s="101">
        <v>30000</v>
      </c>
      <c r="C36" s="102">
        <f>B36/12</f>
        <v>2500</v>
      </c>
      <c r="D36" s="122" t="s">
        <v>271</v>
      </c>
      <c r="E36" s="100"/>
      <c r="F36" s="100"/>
    </row>
    <row r="37" spans="1:13" ht="15" customHeight="1" x14ac:dyDescent="0.3">
      <c r="A37" s="100" t="s">
        <v>120</v>
      </c>
      <c r="B37" s="101">
        <v>42000</v>
      </c>
      <c r="C37" s="102">
        <f>B37/12</f>
        <v>3500</v>
      </c>
      <c r="D37" s="122" t="s">
        <v>272</v>
      </c>
      <c r="E37" s="100"/>
      <c r="F37" s="100"/>
    </row>
    <row r="38" spans="1:13" ht="15" customHeight="1" x14ac:dyDescent="0.3">
      <c r="A38" s="100" t="s">
        <v>273</v>
      </c>
      <c r="B38" s="101">
        <v>60000</v>
      </c>
      <c r="C38" s="102">
        <f>B38/12</f>
        <v>5000</v>
      </c>
      <c r="D38" s="122" t="s">
        <v>271</v>
      </c>
      <c r="E38" s="100"/>
      <c r="F38" s="100"/>
    </row>
    <row r="39" spans="1:13" ht="15" customHeight="1" x14ac:dyDescent="0.3">
      <c r="A39" s="100"/>
      <c r="B39" s="101"/>
      <c r="C39" s="102"/>
      <c r="D39" s="122"/>
      <c r="E39" s="100"/>
      <c r="F39" s="100"/>
    </row>
    <row r="40" spans="1:13" ht="15" customHeight="1" x14ac:dyDescent="0.3">
      <c r="A40" s="98" t="s">
        <v>274</v>
      </c>
      <c r="B40" s="99"/>
      <c r="C40" s="99"/>
      <c r="D40" s="99"/>
      <c r="E40" s="99"/>
      <c r="F40" s="99"/>
    </row>
    <row r="41" spans="1:13" ht="15" customHeight="1" x14ac:dyDescent="0.3">
      <c r="A41" s="100" t="s">
        <v>275</v>
      </c>
      <c r="B41" s="96" t="s">
        <v>276</v>
      </c>
      <c r="C41" s="96"/>
      <c r="D41" s="96"/>
      <c r="E41" s="96"/>
      <c r="F41" s="96"/>
    </row>
    <row r="42" spans="1:13" ht="15" customHeight="1" x14ac:dyDescent="0.3">
      <c r="A42" s="100" t="s">
        <v>275</v>
      </c>
      <c r="B42" s="96" t="s">
        <v>277</v>
      </c>
      <c r="C42" s="96"/>
      <c r="D42" s="96"/>
      <c r="E42" s="96"/>
      <c r="F42" s="96"/>
    </row>
    <row r="43" spans="1:13" ht="15" customHeight="1" x14ac:dyDescent="0.3">
      <c r="A43" s="100" t="s">
        <v>275</v>
      </c>
      <c r="B43" s="96" t="s">
        <v>278</v>
      </c>
      <c r="C43" s="96"/>
      <c r="D43" s="96"/>
      <c r="E43" s="96"/>
      <c r="F43" s="96"/>
    </row>
    <row r="44" spans="1:13" ht="15" customHeight="1" x14ac:dyDescent="0.3">
      <c r="A44" s="100" t="s">
        <v>275</v>
      </c>
      <c r="B44" s="96" t="s">
        <v>279</v>
      </c>
      <c r="C44" s="96"/>
      <c r="D44" s="96"/>
      <c r="E44" s="96"/>
      <c r="F44" s="96"/>
      <c r="I44" s="96"/>
      <c r="J44" s="123"/>
      <c r="K44" s="123"/>
      <c r="L44" s="123"/>
      <c r="M44" s="123"/>
    </row>
  </sheetData>
  <mergeCells count="29">
    <mergeCell ref="I44:M44"/>
    <mergeCell ref="A1:F1"/>
    <mergeCell ref="C21:F21"/>
    <mergeCell ref="D6:F6"/>
    <mergeCell ref="B41:F41"/>
    <mergeCell ref="B44:F44"/>
    <mergeCell ref="A10:F10"/>
    <mergeCell ref="D14:F14"/>
    <mergeCell ref="A28:F28"/>
    <mergeCell ref="C20:F20"/>
    <mergeCell ref="A34:F34"/>
    <mergeCell ref="A40:F40"/>
    <mergeCell ref="C30:E30"/>
    <mergeCell ref="C33:E33"/>
    <mergeCell ref="B43:F43"/>
    <mergeCell ref="B2:F2"/>
    <mergeCell ref="B42:F42"/>
    <mergeCell ref="D12:F12"/>
    <mergeCell ref="D9:F9"/>
    <mergeCell ref="A22:F22"/>
    <mergeCell ref="A4:F4"/>
    <mergeCell ref="D8:F8"/>
    <mergeCell ref="D15:F15"/>
    <mergeCell ref="C32:E32"/>
    <mergeCell ref="A16:F16"/>
    <mergeCell ref="D13:F13"/>
    <mergeCell ref="C31:E31"/>
    <mergeCell ref="D7:F7"/>
    <mergeCell ref="C18:F18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showGridLines="0" zoomScaleNormal="100" workbookViewId="0">
      <selection sqref="A1:B1"/>
    </sheetView>
  </sheetViews>
  <sheetFormatPr defaultColWidth="8.7109375" defaultRowHeight="15" customHeight="1" x14ac:dyDescent="0.25"/>
  <cols>
    <col min="1" max="1" width="16" style="1" customWidth="1"/>
    <col min="2" max="5" width="14" style="1" customWidth="1"/>
    <col min="6" max="6" width="16" style="1" customWidth="1"/>
    <col min="7" max="7" width="14" style="1" customWidth="1"/>
    <col min="8" max="8" width="17.28515625" style="1" bestFit="1" customWidth="1"/>
    <col min="9" max="9" width="14" style="1" customWidth="1"/>
    <col min="10" max="10" width="18" style="1" customWidth="1"/>
    <col min="11" max="12" width="14" style="1" customWidth="1"/>
    <col min="13" max="13" width="12" style="1" customWidth="1"/>
  </cols>
  <sheetData>
    <row r="1" spans="1:13" ht="17.25" customHeight="1" x14ac:dyDescent="0.3">
      <c r="A1" s="93" t="s">
        <v>280</v>
      </c>
      <c r="B1" s="94"/>
    </row>
    <row r="2" spans="1:13" x14ac:dyDescent="0.25"/>
    <row r="3" spans="1:13" ht="15" customHeight="1" x14ac:dyDescent="0.2">
      <c r="A3" s="87" t="s">
        <v>189</v>
      </c>
      <c r="B3" s="87" t="s">
        <v>281</v>
      </c>
      <c r="C3" s="87" t="s">
        <v>282</v>
      </c>
      <c r="D3" s="87" t="s">
        <v>283</v>
      </c>
      <c r="E3" s="87" t="s">
        <v>69</v>
      </c>
      <c r="F3" s="87" t="s">
        <v>284</v>
      </c>
      <c r="G3" s="87" t="s">
        <v>285</v>
      </c>
      <c r="H3" s="87" t="s">
        <v>286</v>
      </c>
      <c r="I3" s="87" t="s">
        <v>287</v>
      </c>
      <c r="J3" s="87" t="s">
        <v>288</v>
      </c>
      <c r="K3" s="87" t="s">
        <v>289</v>
      </c>
      <c r="L3" s="87" t="s">
        <v>290</v>
      </c>
      <c r="M3" s="87" t="s">
        <v>64</v>
      </c>
    </row>
    <row r="4" spans="1:13" ht="15" customHeight="1" x14ac:dyDescent="0.25">
      <c r="A4" s="27" t="s">
        <v>190</v>
      </c>
      <c r="B4" s="88">
        <f>'homie Eingaben'!B24</f>
        <v>190</v>
      </c>
      <c r="C4" s="89">
        <f>'homie Eingaben'!C24</f>
        <v>0.08</v>
      </c>
      <c r="D4" s="88">
        <f>B4*(1+C4)</f>
        <v>205.20000000000002</v>
      </c>
      <c r="E4" s="89">
        <f>Annahmen!C5</f>
        <v>0.78</v>
      </c>
      <c r="F4" s="88">
        <f>D4*E4</f>
        <v>160.05600000000001</v>
      </c>
      <c r="G4" s="89">
        <f>Annahmen!C9</f>
        <v>0.04</v>
      </c>
      <c r="H4" s="90">
        <f>IF(G4&gt;0,1/G4,0)</f>
        <v>25</v>
      </c>
      <c r="I4" s="88">
        <f>IF(G4&gt;0,F4/G4,0)</f>
        <v>4001.4</v>
      </c>
      <c r="J4" s="91">
        <f>Annahmen!C13</f>
        <v>9</v>
      </c>
      <c r="K4" s="88">
        <f>F4*J4</f>
        <v>1440.5040000000001</v>
      </c>
      <c r="L4" s="88">
        <f>K4*Annahmen!C17</f>
        <v>1008.3528</v>
      </c>
      <c r="M4" s="92">
        <f>IF(L4&gt;0,I4/L4,0)</f>
        <v>3.9682539682539684</v>
      </c>
    </row>
    <row r="5" spans="1:13" ht="15" customHeight="1" x14ac:dyDescent="0.25">
      <c r="A5" s="27" t="s">
        <v>191</v>
      </c>
      <c r="B5" s="88">
        <f>'homie Eingaben'!B25</f>
        <v>390</v>
      </c>
      <c r="C5" s="89">
        <f>'homie Eingaben'!C25</f>
        <v>0.1</v>
      </c>
      <c r="D5" s="88">
        <f>B5*(1+C5)</f>
        <v>429.00000000000006</v>
      </c>
      <c r="E5" s="89">
        <f>Annahmen!C6</f>
        <v>0.8</v>
      </c>
      <c r="F5" s="88">
        <f>D5*E5</f>
        <v>343.20000000000005</v>
      </c>
      <c r="G5" s="89">
        <f>Annahmen!C10</f>
        <v>0.03</v>
      </c>
      <c r="H5" s="90">
        <f>IF(G5&gt;0,1/G5,0)</f>
        <v>33.333333333333336</v>
      </c>
      <c r="I5" s="88">
        <f>IF(G5&gt;0,F5/G5,0)</f>
        <v>11440.000000000002</v>
      </c>
      <c r="J5" s="91">
        <f>Annahmen!C14</f>
        <v>9</v>
      </c>
      <c r="K5" s="88">
        <f>F5*J5</f>
        <v>3088.8</v>
      </c>
      <c r="L5" s="88">
        <f>K5*Annahmen!C18</f>
        <v>2223.9360000000001</v>
      </c>
      <c r="M5" s="92">
        <f>IF(L5&gt;0,I5/L5,0)</f>
        <v>5.1440329218106999</v>
      </c>
    </row>
    <row r="6" spans="1:13" ht="15" customHeight="1" x14ac:dyDescent="0.25">
      <c r="A6" s="27" t="s">
        <v>192</v>
      </c>
      <c r="B6" s="88">
        <f>'homie Eingaben'!B26</f>
        <v>790</v>
      </c>
      <c r="C6" s="89">
        <f>'homie Eingaben'!C26</f>
        <v>0.12</v>
      </c>
      <c r="D6" s="88">
        <f>B6*(1+C6)</f>
        <v>884.80000000000007</v>
      </c>
      <c r="E6" s="89">
        <f>Annahmen!C7</f>
        <v>0.82</v>
      </c>
      <c r="F6" s="88">
        <f>D6*E6</f>
        <v>725.53600000000006</v>
      </c>
      <c r="G6" s="89">
        <f>Annahmen!C11</f>
        <v>2.5000000000000001E-2</v>
      </c>
      <c r="H6" s="90">
        <f>IF(G6&gt;0,1/G6,0)</f>
        <v>40</v>
      </c>
      <c r="I6" s="88">
        <f>IF(G6&gt;0,F6/G6,0)</f>
        <v>29021.440000000002</v>
      </c>
      <c r="J6" s="91">
        <f>Annahmen!C15</f>
        <v>12</v>
      </c>
      <c r="K6" s="88">
        <f>F6*J6</f>
        <v>8706.4320000000007</v>
      </c>
      <c r="L6" s="88">
        <f>K6*Annahmen!C19</f>
        <v>6529.8240000000005</v>
      </c>
      <c r="M6" s="92">
        <f>IF(L6&gt;0,I6/L6,0)</f>
        <v>4.4444444444444446</v>
      </c>
    </row>
    <row r="7" spans="1:13" ht="15" customHeight="1" x14ac:dyDescent="0.25">
      <c r="A7" s="27" t="s">
        <v>193</v>
      </c>
      <c r="B7" s="88">
        <f>'homie Eingaben'!B27</f>
        <v>3500</v>
      </c>
      <c r="C7" s="89">
        <f>'homie Eingaben'!C27</f>
        <v>0.15</v>
      </c>
      <c r="D7" s="88">
        <f>B7*(1+C7)</f>
        <v>4024.9999999999995</v>
      </c>
      <c r="E7" s="89">
        <f>Annahmen!C8</f>
        <v>0.8</v>
      </c>
      <c r="F7" s="88">
        <f>D7*E7</f>
        <v>3220</v>
      </c>
      <c r="G7" s="89">
        <f>Annahmen!C12</f>
        <v>1.4999999999999999E-2</v>
      </c>
      <c r="H7" s="90">
        <f>IF(G7&gt;0,1/G7,0)</f>
        <v>66.666666666666671</v>
      </c>
      <c r="I7" s="88">
        <f>IF(G7&gt;0,F7/G7,0)</f>
        <v>214666.66666666669</v>
      </c>
      <c r="J7" s="91">
        <f>Annahmen!C16</f>
        <v>12</v>
      </c>
      <c r="K7" s="88">
        <f>F7*J7</f>
        <v>38640</v>
      </c>
      <c r="L7" s="88">
        <f>K7*Annahmen!C20</f>
        <v>27048</v>
      </c>
      <c r="M7" s="92">
        <f>IF(L7&gt;0,I7/L7,0)</f>
        <v>7.9365079365079376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6"/>
  <sheetViews>
    <sheetView showGridLines="0" zoomScaleNormal="100" workbookViewId="0">
      <selection activeCell="O29" sqref="O29"/>
    </sheetView>
  </sheetViews>
  <sheetFormatPr defaultColWidth="8.7109375" defaultRowHeight="15" customHeight="1" x14ac:dyDescent="0.25"/>
  <cols>
    <col min="1" max="1" width="43.7109375" style="1" customWidth="1"/>
    <col min="2" max="6" width="11.85546875" style="1" customWidth="1"/>
    <col min="8" max="8" width="15.42578125" style="1" customWidth="1"/>
    <col min="9" max="9" width="8.5703125" style="1" customWidth="1"/>
    <col min="10" max="13" width="10.140625" style="1" customWidth="1"/>
  </cols>
  <sheetData>
    <row r="1" spans="1:13" ht="15" customHeight="1" x14ac:dyDescent="0.25">
      <c r="A1" s="85" t="s">
        <v>291</v>
      </c>
      <c r="B1" s="86"/>
      <c r="C1" s="86"/>
      <c r="D1" s="86"/>
      <c r="E1" s="86"/>
      <c r="F1" s="86"/>
    </row>
    <row r="2" spans="1:13" ht="14.25" x14ac:dyDescent="0.3">
      <c r="A2" s="30"/>
      <c r="B2" s="30"/>
      <c r="C2" s="30"/>
      <c r="D2" s="30"/>
      <c r="E2" s="30"/>
      <c r="F2" s="30"/>
      <c r="G2" s="66"/>
      <c r="H2" s="30"/>
      <c r="I2" s="30"/>
      <c r="J2" s="30"/>
      <c r="K2" s="30"/>
      <c r="L2" s="30"/>
      <c r="M2" s="30"/>
    </row>
    <row r="3" spans="1:13" ht="15" customHeight="1" x14ac:dyDescent="0.3">
      <c r="A3" s="30"/>
      <c r="B3" s="67">
        <v>2026</v>
      </c>
      <c r="C3" s="67">
        <v>2027</v>
      </c>
      <c r="D3" s="67">
        <v>2028</v>
      </c>
      <c r="E3" s="67">
        <v>2029</v>
      </c>
      <c r="F3" s="67">
        <v>2030</v>
      </c>
      <c r="G3" s="66"/>
      <c r="H3" s="68" t="s">
        <v>292</v>
      </c>
      <c r="I3" s="68">
        <v>2026</v>
      </c>
      <c r="J3" s="68">
        <v>2027</v>
      </c>
      <c r="K3" s="68">
        <v>2028</v>
      </c>
      <c r="L3" s="68">
        <v>2029</v>
      </c>
      <c r="M3" s="68">
        <v>2030</v>
      </c>
    </row>
    <row r="4" spans="1:13" ht="15" customHeight="1" x14ac:dyDescent="0.3">
      <c r="A4" s="83" t="s">
        <v>293</v>
      </c>
      <c r="B4" s="84"/>
      <c r="C4" s="84"/>
      <c r="D4" s="84"/>
      <c r="E4" s="84"/>
      <c r="F4" s="84"/>
      <c r="G4" s="66"/>
      <c r="H4" s="69" t="s">
        <v>190</v>
      </c>
      <c r="I4" s="70">
        <f>B9*B34</f>
        <v>123070.75200000001</v>
      </c>
      <c r="J4" s="70">
        <f>C9*C34</f>
        <v>133217.80992</v>
      </c>
      <c r="K4" s="70">
        <f>D9*D34</f>
        <v>133269.04753919999</v>
      </c>
      <c r="L4" s="70">
        <f>E9*E34</f>
        <v>125272.90468684801</v>
      </c>
      <c r="M4" s="70">
        <f>F9*F34</f>
        <v>125059.67421078528</v>
      </c>
    </row>
    <row r="5" spans="1:13" ht="15" customHeight="1" x14ac:dyDescent="0.3">
      <c r="A5" s="30" t="s">
        <v>294</v>
      </c>
      <c r="B5" s="71">
        <f>'homie Eingaben'!B30</f>
        <v>40</v>
      </c>
      <c r="C5" s="71">
        <f>B9</f>
        <v>49</v>
      </c>
      <c r="D5" s="71">
        <f>C9</f>
        <v>52</v>
      </c>
      <c r="E5" s="71">
        <f>D9</f>
        <v>51</v>
      </c>
      <c r="F5" s="71">
        <f>E9</f>
        <v>47</v>
      </c>
      <c r="G5" s="66"/>
      <c r="H5" s="69" t="s">
        <v>191</v>
      </c>
      <c r="I5" s="70">
        <f>B16*B35</f>
        <v>201492.72000000006</v>
      </c>
      <c r="J5" s="70">
        <f>C16*C35</f>
        <v>240306.58080000005</v>
      </c>
      <c r="K5" s="70">
        <f>D16*D35</f>
        <v>261278.79148800008</v>
      </c>
      <c r="L5" s="70">
        <f>E16*E35</f>
        <v>265822.77047040011</v>
      </c>
      <c r="M5" s="70">
        <f>F16*F35</f>
        <v>282599.14087342087</v>
      </c>
    </row>
    <row r="6" spans="1:13" ht="15" customHeight="1" x14ac:dyDescent="0.3">
      <c r="A6" s="30" t="s">
        <v>295</v>
      </c>
      <c r="B6" s="72">
        <f>Annahmen!C42</f>
        <v>0.6</v>
      </c>
      <c r="C6" s="72">
        <f>Annahmen!D42</f>
        <v>0.45</v>
      </c>
      <c r="D6" s="72">
        <f>Annahmen!E42</f>
        <v>0.35</v>
      </c>
      <c r="E6" s="72">
        <f>Annahmen!F42</f>
        <v>0.3</v>
      </c>
      <c r="F6" s="72">
        <f>Annahmen!G42</f>
        <v>0.35</v>
      </c>
      <c r="G6" s="66"/>
      <c r="H6" s="69" t="s">
        <v>192</v>
      </c>
      <c r="I6" s="70">
        <f>B23*B36</f>
        <v>278712.00000000006</v>
      </c>
      <c r="J6" s="70">
        <f>C23*C36</f>
        <v>339471.21600000007</v>
      </c>
      <c r="K6" s="70">
        <f>D23*D36</f>
        <v>384656.0054400001</v>
      </c>
      <c r="L6" s="70">
        <f>E23*E36</f>
        <v>407735.36576640006</v>
      </c>
      <c r="M6" s="70">
        <f>F23*F36</f>
        <v>446141.40667084814</v>
      </c>
    </row>
    <row r="7" spans="1:13" ht="15" customHeight="1" x14ac:dyDescent="0.3">
      <c r="A7" s="30" t="s">
        <v>296</v>
      </c>
      <c r="B7" s="71">
        <f>ROUND(B5*B6,0)</f>
        <v>24</v>
      </c>
      <c r="C7" s="71">
        <f>ROUND(C5*C6,0)</f>
        <v>22</v>
      </c>
      <c r="D7" s="71">
        <f>ROUND(D5*D6,0)</f>
        <v>18</v>
      </c>
      <c r="E7" s="71">
        <f>ROUND(E5*E6,0)</f>
        <v>15</v>
      </c>
      <c r="F7" s="71">
        <f>ROUND(F5*F6,0)</f>
        <v>16</v>
      </c>
      <c r="G7" s="66"/>
      <c r="H7" s="69" t="s">
        <v>193</v>
      </c>
      <c r="I7" s="70">
        <f>B30*B37</f>
        <v>307187.99999999994</v>
      </c>
      <c r="J7" s="70">
        <f>C30*C37</f>
        <v>383473.01999999996</v>
      </c>
      <c r="K7" s="70">
        <f>D30*D37</f>
        <v>473315.27039999998</v>
      </c>
      <c r="L7" s="70">
        <f>E30*E37</f>
        <v>575078.05353600008</v>
      </c>
      <c r="M7" s="70">
        <f>F30*F37</f>
        <v>690093.6642432001</v>
      </c>
    </row>
    <row r="8" spans="1:13" ht="15" customHeight="1" x14ac:dyDescent="0.3">
      <c r="A8" s="30" t="s">
        <v>297</v>
      </c>
      <c r="B8" s="71">
        <f>ROUND(B5*B38,0)</f>
        <v>15</v>
      </c>
      <c r="C8" s="71">
        <f>ROUND(C5*C38,0)</f>
        <v>19</v>
      </c>
      <c r="D8" s="71">
        <f>ROUND(D5*D38,0)</f>
        <v>19</v>
      </c>
      <c r="E8" s="71">
        <f>ROUND(E5*E38,0)</f>
        <v>19</v>
      </c>
      <c r="F8" s="71">
        <f>ROUND(F5*F38,0)</f>
        <v>17</v>
      </c>
      <c r="G8" s="66"/>
      <c r="H8" s="73" t="s">
        <v>298</v>
      </c>
      <c r="I8" s="74">
        <f>SUM(I4:I7)</f>
        <v>910463.47200000007</v>
      </c>
      <c r="J8" s="74">
        <f>SUM(J4:J7)</f>
        <v>1096468.6267200001</v>
      </c>
      <c r="K8" s="74">
        <f>SUM(K4:K7)</f>
        <v>1252519.1148672001</v>
      </c>
      <c r="L8" s="74">
        <f>SUM(L4:L7)</f>
        <v>1373909.0944596482</v>
      </c>
      <c r="M8" s="74">
        <f>SUM(M4:M7)</f>
        <v>1543893.8859982544</v>
      </c>
    </row>
    <row r="9" spans="1:13" ht="15" customHeight="1" x14ac:dyDescent="0.3">
      <c r="A9" s="30" t="s">
        <v>299</v>
      </c>
      <c r="B9" s="71">
        <f>B5+B7-B8</f>
        <v>49</v>
      </c>
      <c r="C9" s="71">
        <f>C5+C7-C8</f>
        <v>52</v>
      </c>
      <c r="D9" s="71">
        <f>D5+D7-D8</f>
        <v>51</v>
      </c>
      <c r="E9" s="71">
        <f>E5+E7-E8</f>
        <v>47</v>
      </c>
      <c r="F9" s="71">
        <f>F5+F7-F8</f>
        <v>46</v>
      </c>
      <c r="G9" s="66"/>
      <c r="H9" s="30"/>
      <c r="I9" s="30"/>
      <c r="J9" s="30"/>
      <c r="K9" s="30"/>
      <c r="L9" s="30"/>
      <c r="M9" s="30"/>
    </row>
    <row r="10" spans="1:13" ht="14.25" x14ac:dyDescent="0.3">
      <c r="A10" s="30"/>
      <c r="B10" s="30"/>
      <c r="C10" s="30"/>
      <c r="D10" s="30"/>
      <c r="E10" s="30"/>
      <c r="F10" s="30"/>
      <c r="G10" s="66"/>
      <c r="H10" s="30"/>
      <c r="I10" s="30"/>
      <c r="J10" s="30"/>
      <c r="K10" s="30"/>
      <c r="L10" s="30"/>
      <c r="M10" s="30"/>
    </row>
    <row r="11" spans="1:13" ht="15" customHeight="1" x14ac:dyDescent="0.3">
      <c r="A11" s="83" t="s">
        <v>300</v>
      </c>
      <c r="B11" s="84"/>
      <c r="C11" s="84"/>
      <c r="D11" s="84"/>
      <c r="E11" s="84"/>
      <c r="F11" s="84"/>
      <c r="G11" s="66"/>
      <c r="H11" s="68" t="s">
        <v>301</v>
      </c>
      <c r="I11" s="68">
        <v>2026</v>
      </c>
      <c r="J11" s="68">
        <v>2027</v>
      </c>
      <c r="K11" s="68">
        <v>2028</v>
      </c>
      <c r="L11" s="68">
        <v>2029</v>
      </c>
      <c r="M11" s="68">
        <v>2030</v>
      </c>
    </row>
    <row r="12" spans="1:13" ht="15" customHeight="1" x14ac:dyDescent="0.3">
      <c r="A12" s="30" t="s">
        <v>294</v>
      </c>
      <c r="B12" s="71">
        <f>'homie Eingaben'!B31</f>
        <v>30</v>
      </c>
      <c r="C12" s="71">
        <f>B16</f>
        <v>38</v>
      </c>
      <c r="D12" s="71">
        <f>C16</f>
        <v>44</v>
      </c>
      <c r="E12" s="71">
        <f>D16</f>
        <v>46</v>
      </c>
      <c r="F12" s="71">
        <f>E16</f>
        <v>45</v>
      </c>
      <c r="G12" s="66"/>
      <c r="H12" s="69" t="s">
        <v>302</v>
      </c>
      <c r="I12" s="75">
        <f>IF(I8&gt;0,I4/I8,0)</f>
        <v>0.13517373929307952</v>
      </c>
      <c r="J12" s="75">
        <f>IF(J8&gt;0,J4/J8,0)</f>
        <v>0.12149714699864293</v>
      </c>
      <c r="K12" s="75">
        <f>IF(K8&gt;0,K4/K8,0)</f>
        <v>0.10640080934280192</v>
      </c>
      <c r="L12" s="75">
        <f>IF(L8&gt;0,L4/L8,0)</f>
        <v>9.1179907893482015E-2</v>
      </c>
      <c r="M12" s="75">
        <f>IF(M8&gt;0,M4/M8,0)</f>
        <v>8.1002765374593028E-2</v>
      </c>
    </row>
    <row r="13" spans="1:13" ht="15" customHeight="1" x14ac:dyDescent="0.3">
      <c r="A13" s="30" t="s">
        <v>295</v>
      </c>
      <c r="B13" s="72">
        <f>Annahmen!C43</f>
        <v>0.55000000000000004</v>
      </c>
      <c r="C13" s="72">
        <f>Annahmen!D43</f>
        <v>0.45</v>
      </c>
      <c r="D13" s="72">
        <f>Annahmen!E43</f>
        <v>0.35</v>
      </c>
      <c r="E13" s="72">
        <f>Annahmen!F43</f>
        <v>0.25</v>
      </c>
      <c r="F13" s="72">
        <f>Annahmen!G43</f>
        <v>0.28000000000000003</v>
      </c>
      <c r="G13" s="66"/>
      <c r="H13" s="69" t="s">
        <v>303</v>
      </c>
      <c r="I13" s="75">
        <f>IF(I8&gt;0,I5/I8,0)</f>
        <v>0.22130785714816689</v>
      </c>
      <c r="J13" s="75">
        <f>IF(J8&gt;0,J5/J8,0)</f>
        <v>0.21916411919496351</v>
      </c>
      <c r="K13" s="75">
        <f>IF(K8&gt;0,K5/K8,0)</f>
        <v>0.2086026379850518</v>
      </c>
      <c r="L13" s="75">
        <f>IF(L8&gt;0,L5/L8,0)</f>
        <v>0.19347915487446926</v>
      </c>
      <c r="M13" s="75">
        <f>IF(M8&gt;0,M5/M8,0)</f>
        <v>0.18304311160005488</v>
      </c>
    </row>
    <row r="14" spans="1:13" ht="15" customHeight="1" x14ac:dyDescent="0.3">
      <c r="A14" s="30" t="s">
        <v>296</v>
      </c>
      <c r="B14" s="71">
        <f>ROUND(B12*B13,0)</f>
        <v>17</v>
      </c>
      <c r="C14" s="71">
        <f>ROUND(C12*C13,0)</f>
        <v>17</v>
      </c>
      <c r="D14" s="71">
        <f>ROUND(D12*D13,0)</f>
        <v>15</v>
      </c>
      <c r="E14" s="71">
        <f>ROUND(E12*E13,0)</f>
        <v>12</v>
      </c>
      <c r="F14" s="71">
        <f>ROUND(F12*F13,0)</f>
        <v>13</v>
      </c>
      <c r="G14" s="66"/>
      <c r="H14" s="69" t="s">
        <v>304</v>
      </c>
      <c r="I14" s="75">
        <f>IF(I8&gt;0,I6/I8,0)</f>
        <v>0.30612101261762653</v>
      </c>
      <c r="J14" s="75">
        <f>IF(J8&gt;0,J6/J8,0)</f>
        <v>0.3096041306858926</v>
      </c>
      <c r="K14" s="75">
        <f>IF(K8&gt;0,K6/K8,0)</f>
        <v>0.30710589632860313</v>
      </c>
      <c r="L14" s="75">
        <f>IF(L8&gt;0,L6/L8,0)</f>
        <v>0.29677026479452806</v>
      </c>
      <c r="M14" s="75">
        <f>IF(M8&gt;0,M6/M8,0)</f>
        <v>0.28897154831491612</v>
      </c>
    </row>
    <row r="15" spans="1:13" ht="15" customHeight="1" x14ac:dyDescent="0.3">
      <c r="A15" s="30" t="s">
        <v>297</v>
      </c>
      <c r="B15" s="71">
        <f>ROUND(B12*B39,0)</f>
        <v>9</v>
      </c>
      <c r="C15" s="71">
        <f>ROUND(C12*C39,0)</f>
        <v>11</v>
      </c>
      <c r="D15" s="71">
        <f>ROUND(D12*D39,0)</f>
        <v>13</v>
      </c>
      <c r="E15" s="71">
        <f>ROUND(E12*E39,0)</f>
        <v>13</v>
      </c>
      <c r="F15" s="71">
        <f>ROUND(F12*F39,0)</f>
        <v>12</v>
      </c>
      <c r="G15" s="66"/>
      <c r="H15" s="69" t="s">
        <v>305</v>
      </c>
      <c r="I15" s="75">
        <f>IF(I8&gt;0,I7/I8,0)</f>
        <v>0.33739739094112708</v>
      </c>
      <c r="J15" s="75">
        <f>IF(J8&gt;0,J7/J8,0)</f>
        <v>0.34973460312050098</v>
      </c>
      <c r="K15" s="75">
        <f>IF(K8&gt;0,K7/K8,0)</f>
        <v>0.37789065634354313</v>
      </c>
      <c r="L15" s="75">
        <f>IF(L8&gt;0,L7/L8,0)</f>
        <v>0.41857067243752066</v>
      </c>
      <c r="M15" s="75">
        <f>IF(M8&gt;0,M7/M8,0)</f>
        <v>0.44698257471043601</v>
      </c>
    </row>
    <row r="16" spans="1:13" ht="15" customHeight="1" x14ac:dyDescent="0.3">
      <c r="A16" s="30" t="s">
        <v>299</v>
      </c>
      <c r="B16" s="71">
        <f>B12+B14-B15</f>
        <v>38</v>
      </c>
      <c r="C16" s="71">
        <f>C12+C14-C15</f>
        <v>44</v>
      </c>
      <c r="D16" s="71">
        <f>D12+D14-D15</f>
        <v>46</v>
      </c>
      <c r="E16" s="71">
        <f>E12+E14-E15</f>
        <v>45</v>
      </c>
      <c r="F16" s="71">
        <f>F12+F14-F15</f>
        <v>46</v>
      </c>
      <c r="G16" s="66"/>
      <c r="H16" s="73" t="s">
        <v>306</v>
      </c>
      <c r="I16" s="76">
        <f>SUM(I12:I15)</f>
        <v>1</v>
      </c>
      <c r="J16" s="76">
        <f>SUM(J12:J15)</f>
        <v>1</v>
      </c>
      <c r="K16" s="76">
        <f>SUM(K12:K15)</f>
        <v>1</v>
      </c>
      <c r="L16" s="76">
        <f>SUM(L12:L15)</f>
        <v>1</v>
      </c>
      <c r="M16" s="76">
        <f>SUM(M12:M15)</f>
        <v>1</v>
      </c>
    </row>
    <row r="17" spans="1:24" ht="14.25" x14ac:dyDescent="0.3">
      <c r="A17" s="30"/>
      <c r="B17" s="30"/>
      <c r="C17" s="30"/>
      <c r="D17" s="30"/>
      <c r="E17" s="30"/>
      <c r="F17" s="30"/>
      <c r="G17" s="66"/>
      <c r="H17" s="30"/>
      <c r="I17" s="30"/>
      <c r="J17" s="30"/>
      <c r="K17" s="30"/>
      <c r="L17" s="30"/>
      <c r="M17" s="30"/>
    </row>
    <row r="18" spans="1:24" ht="15" customHeight="1" x14ac:dyDescent="0.3">
      <c r="A18" s="83" t="s">
        <v>307</v>
      </c>
      <c r="B18" s="84"/>
      <c r="C18" s="84"/>
      <c r="D18" s="84"/>
      <c r="E18" s="84"/>
      <c r="F18" s="84"/>
      <c r="G18" s="66"/>
      <c r="H18" s="30"/>
      <c r="I18" s="30"/>
      <c r="J18" s="30"/>
      <c r="K18" s="30"/>
      <c r="L18" s="30"/>
      <c r="M18" s="30"/>
    </row>
    <row r="19" spans="1:24" ht="15" customHeight="1" x14ac:dyDescent="0.3">
      <c r="A19" s="30" t="s">
        <v>294</v>
      </c>
      <c r="B19" s="71">
        <f>'homie Eingaben'!B32</f>
        <v>20</v>
      </c>
      <c r="C19" s="71">
        <f>B23</f>
        <v>25</v>
      </c>
      <c r="D19" s="71">
        <f>C23</f>
        <v>29</v>
      </c>
      <c r="E19" s="71">
        <f>D23</f>
        <v>31</v>
      </c>
      <c r="F19" s="71">
        <f>E23</f>
        <v>31</v>
      </c>
      <c r="G19" s="66"/>
      <c r="H19" s="30"/>
      <c r="I19" s="30"/>
      <c r="J19" s="30"/>
      <c r="K19" s="30"/>
      <c r="L19" s="30"/>
      <c r="M19" s="30"/>
      <c r="S19" s="83"/>
      <c r="T19" s="84"/>
      <c r="U19" s="84"/>
      <c r="V19" s="84"/>
      <c r="W19" s="84"/>
      <c r="X19" s="84"/>
    </row>
    <row r="20" spans="1:24" ht="15" customHeight="1" x14ac:dyDescent="0.3">
      <c r="A20" s="30" t="s">
        <v>295</v>
      </c>
      <c r="B20" s="72">
        <f>Annahmen!C44</f>
        <v>0.5</v>
      </c>
      <c r="C20" s="72">
        <f>Annahmen!D44</f>
        <v>0.4</v>
      </c>
      <c r="D20" s="72">
        <f>Annahmen!E44</f>
        <v>0.3</v>
      </c>
      <c r="E20" s="72">
        <f>Annahmen!F44</f>
        <v>0.24</v>
      </c>
      <c r="F20" s="72">
        <f>Annahmen!G44</f>
        <v>0.27</v>
      </c>
      <c r="G20" s="66"/>
      <c r="H20" s="30"/>
      <c r="I20" s="30"/>
      <c r="J20" s="30"/>
      <c r="K20" s="30"/>
      <c r="L20" s="30"/>
      <c r="M20" s="30"/>
    </row>
    <row r="21" spans="1:24" ht="15" customHeight="1" x14ac:dyDescent="0.3">
      <c r="A21" s="30" t="s">
        <v>296</v>
      </c>
      <c r="B21" s="71">
        <f>ROUND(B19*B20,0)</f>
        <v>10</v>
      </c>
      <c r="C21" s="71">
        <f>ROUND(C19*C20,0)</f>
        <v>10</v>
      </c>
      <c r="D21" s="71">
        <f>ROUND(D19*D20,0)</f>
        <v>9</v>
      </c>
      <c r="E21" s="71">
        <f>ROUND(E19*E20,0)</f>
        <v>7</v>
      </c>
      <c r="F21" s="71">
        <f>ROUND(F19*F20,0)</f>
        <v>8</v>
      </c>
      <c r="G21" s="66"/>
      <c r="H21" s="30"/>
      <c r="I21" s="30"/>
      <c r="J21" s="30"/>
      <c r="K21" s="30"/>
      <c r="L21" s="30"/>
      <c r="M21" s="30"/>
    </row>
    <row r="22" spans="1:24" ht="15" customHeight="1" x14ac:dyDescent="0.3">
      <c r="A22" s="30" t="s">
        <v>297</v>
      </c>
      <c r="B22" s="71">
        <f>ROUND(B19*B40,0)</f>
        <v>5</v>
      </c>
      <c r="C22" s="71">
        <f>ROUND(C19*C40,0)</f>
        <v>6</v>
      </c>
      <c r="D22" s="71">
        <f>ROUND(D19*D40,0)</f>
        <v>7</v>
      </c>
      <c r="E22" s="71">
        <f>ROUND(E19*E40,0)</f>
        <v>7</v>
      </c>
      <c r="F22" s="71">
        <f>ROUND(F19*F40,0)</f>
        <v>7</v>
      </c>
      <c r="G22" s="66"/>
      <c r="H22" s="30"/>
      <c r="I22" s="30"/>
      <c r="J22" s="30"/>
      <c r="K22" s="30"/>
      <c r="L22" s="30"/>
      <c r="M22" s="30"/>
    </row>
    <row r="23" spans="1:24" ht="15" customHeight="1" x14ac:dyDescent="0.3">
      <c r="A23" s="30" t="s">
        <v>299</v>
      </c>
      <c r="B23" s="71">
        <f>B19+B21-B22</f>
        <v>25</v>
      </c>
      <c r="C23" s="71">
        <f>C19+C21-C22</f>
        <v>29</v>
      </c>
      <c r="D23" s="71">
        <f>D19+D21-D22</f>
        <v>31</v>
      </c>
      <c r="E23" s="71">
        <f>E19+E21-E22</f>
        <v>31</v>
      </c>
      <c r="F23" s="71">
        <f>F19+F21-F22</f>
        <v>32</v>
      </c>
      <c r="G23" s="66"/>
      <c r="H23" s="30"/>
      <c r="I23" s="30"/>
      <c r="J23" s="30"/>
      <c r="K23" s="30"/>
      <c r="L23" s="30"/>
      <c r="M23" s="30"/>
    </row>
    <row r="24" spans="1:24" ht="14.25" x14ac:dyDescent="0.3">
      <c r="A24" s="30"/>
      <c r="B24" s="30"/>
      <c r="C24" s="30"/>
      <c r="D24" s="30"/>
      <c r="E24" s="30"/>
      <c r="F24" s="30"/>
      <c r="G24" s="66"/>
      <c r="H24" s="30"/>
      <c r="I24" s="30"/>
      <c r="J24" s="30"/>
      <c r="K24" s="30"/>
      <c r="L24" s="30"/>
      <c r="M24" s="30"/>
    </row>
    <row r="25" spans="1:24" ht="15" customHeight="1" x14ac:dyDescent="0.3">
      <c r="A25" s="83" t="s">
        <v>308</v>
      </c>
      <c r="B25" s="84"/>
      <c r="C25" s="84"/>
      <c r="D25" s="84"/>
      <c r="E25" s="84"/>
      <c r="F25" s="84"/>
      <c r="G25" s="66"/>
      <c r="H25" s="30"/>
      <c r="I25" s="30"/>
      <c r="J25" s="30"/>
      <c r="K25" s="30"/>
      <c r="L25" s="30"/>
      <c r="M25" s="30"/>
    </row>
    <row r="26" spans="1:24" ht="15" customHeight="1" x14ac:dyDescent="0.3">
      <c r="A26" s="30" t="s">
        <v>294</v>
      </c>
      <c r="B26" s="71">
        <f>'homie Eingaben'!B33</f>
        <v>5</v>
      </c>
      <c r="C26" s="71">
        <f>B30</f>
        <v>6</v>
      </c>
      <c r="D26" s="71">
        <f>C30</f>
        <v>7</v>
      </c>
      <c r="E26" s="71">
        <f>D30</f>
        <v>8</v>
      </c>
      <c r="F26" s="71">
        <f>E30</f>
        <v>9</v>
      </c>
      <c r="G26" s="66"/>
      <c r="H26" s="30"/>
      <c r="I26" s="30"/>
      <c r="J26" s="30"/>
      <c r="K26" s="30"/>
      <c r="L26" s="30"/>
      <c r="M26" s="30"/>
    </row>
    <row r="27" spans="1:24" ht="15" customHeight="1" x14ac:dyDescent="0.3">
      <c r="A27" s="30" t="s">
        <v>295</v>
      </c>
      <c r="B27" s="72">
        <f>Annahmen!C45</f>
        <v>0.35</v>
      </c>
      <c r="C27" s="72">
        <f>Annahmen!D45</f>
        <v>0.3</v>
      </c>
      <c r="D27" s="72">
        <f>Annahmen!E45</f>
        <v>0.25</v>
      </c>
      <c r="E27" s="72">
        <f>Annahmen!F45</f>
        <v>0.22</v>
      </c>
      <c r="F27" s="72">
        <f>Annahmen!G45</f>
        <v>0.24</v>
      </c>
      <c r="G27" s="66"/>
      <c r="H27" s="30"/>
      <c r="I27" s="30"/>
      <c r="J27" s="30"/>
      <c r="K27" s="30"/>
      <c r="L27" s="30"/>
      <c r="M27" s="30"/>
    </row>
    <row r="28" spans="1:24" ht="15" customHeight="1" x14ac:dyDescent="0.3">
      <c r="A28" s="30" t="s">
        <v>296</v>
      </c>
      <c r="B28" s="71">
        <f>ROUND(B26*B27,0)</f>
        <v>2</v>
      </c>
      <c r="C28" s="71">
        <f>ROUND(C26*C27,0)</f>
        <v>2</v>
      </c>
      <c r="D28" s="71">
        <f>ROUND(D26*D27,0)</f>
        <v>2</v>
      </c>
      <c r="E28" s="71">
        <f>ROUND(E26*E27,0)</f>
        <v>2</v>
      </c>
      <c r="F28" s="71">
        <f>ROUND(F26*F27,0)</f>
        <v>2</v>
      </c>
      <c r="G28" s="66"/>
      <c r="H28" s="30"/>
      <c r="I28" s="30"/>
      <c r="J28" s="30"/>
      <c r="K28" s="30"/>
      <c r="L28" s="30"/>
      <c r="M28" s="30"/>
    </row>
    <row r="29" spans="1:24" ht="15" customHeight="1" x14ac:dyDescent="0.3">
      <c r="A29" s="30" t="s">
        <v>297</v>
      </c>
      <c r="B29" s="71">
        <f>ROUND(B26*B41,0)</f>
        <v>1</v>
      </c>
      <c r="C29" s="71">
        <f>ROUND(C26*C41,0)</f>
        <v>1</v>
      </c>
      <c r="D29" s="71">
        <f>ROUND(D26*D41,0)</f>
        <v>1</v>
      </c>
      <c r="E29" s="71">
        <f>ROUND(E26*E41,0)</f>
        <v>1</v>
      </c>
      <c r="F29" s="71">
        <f>ROUND(F26*F41,0)</f>
        <v>1</v>
      </c>
      <c r="G29" s="66"/>
      <c r="H29" s="30"/>
      <c r="I29" s="30"/>
      <c r="J29" s="30"/>
      <c r="K29" s="30"/>
      <c r="L29" s="30"/>
      <c r="M29" s="30"/>
    </row>
    <row r="30" spans="1:24" ht="15" customHeight="1" x14ac:dyDescent="0.3">
      <c r="A30" s="30" t="s">
        <v>299</v>
      </c>
      <c r="B30" s="71">
        <f>B26+B28-B29</f>
        <v>6</v>
      </c>
      <c r="C30" s="71">
        <f>C26+C28-C29</f>
        <v>7</v>
      </c>
      <c r="D30" s="71">
        <f>D26+D28-D29</f>
        <v>8</v>
      </c>
      <c r="E30" s="71">
        <f>E26+E28-E29</f>
        <v>9</v>
      </c>
      <c r="F30" s="71">
        <f>F26+F28-F29</f>
        <v>10</v>
      </c>
      <c r="G30" s="66"/>
      <c r="H30" s="30"/>
      <c r="I30" s="30"/>
      <c r="J30" s="30"/>
      <c r="K30" s="30"/>
      <c r="L30" s="30"/>
      <c r="M30" s="30"/>
    </row>
    <row r="31" spans="1:24" ht="14.25" x14ac:dyDescent="0.3">
      <c r="A31" s="30"/>
      <c r="B31" s="30"/>
      <c r="C31" s="30"/>
      <c r="D31" s="30"/>
      <c r="E31" s="30"/>
      <c r="F31" s="30"/>
      <c r="G31" s="66"/>
      <c r="H31" s="30"/>
      <c r="I31" s="30"/>
      <c r="J31" s="30"/>
      <c r="K31" s="30"/>
      <c r="L31" s="30"/>
      <c r="M31" s="30"/>
    </row>
    <row r="32" spans="1:24" ht="15" customHeight="1" x14ac:dyDescent="0.3">
      <c r="A32" s="83" t="s">
        <v>309</v>
      </c>
      <c r="B32" s="84"/>
      <c r="C32" s="84"/>
      <c r="D32" s="84"/>
      <c r="E32" s="84"/>
      <c r="F32" s="84"/>
      <c r="G32" s="66"/>
      <c r="H32" s="30"/>
      <c r="I32" s="30"/>
      <c r="J32" s="30"/>
      <c r="K32" s="30"/>
      <c r="L32" s="30"/>
      <c r="M32" s="30"/>
    </row>
    <row r="33" spans="1:13" ht="15" customHeight="1" x14ac:dyDescent="0.3">
      <c r="A33" s="30"/>
      <c r="B33" s="67">
        <v>2026</v>
      </c>
      <c r="C33" s="67">
        <v>2027</v>
      </c>
      <c r="D33" s="67">
        <v>2028</v>
      </c>
      <c r="E33" s="67">
        <v>2029</v>
      </c>
      <c r="F33" s="67">
        <v>2030</v>
      </c>
      <c r="G33" s="66"/>
      <c r="H33" s="30"/>
      <c r="I33" s="30"/>
      <c r="J33" s="30"/>
      <c r="K33" s="30"/>
      <c r="L33" s="30"/>
      <c r="M33" s="30"/>
    </row>
    <row r="34" spans="1:13" ht="15" customHeight="1" x14ac:dyDescent="0.3">
      <c r="A34" s="30" t="s">
        <v>310</v>
      </c>
      <c r="B34" s="77">
        <f>'homie Eingaben'!E24*(1+Annahmen!C70)</f>
        <v>2511.6480000000001</v>
      </c>
      <c r="C34" s="77">
        <f>B34*(1+Annahmen!D70)</f>
        <v>2561.88096</v>
      </c>
      <c r="D34" s="77">
        <f>C34*(1+Annahmen!E70)</f>
        <v>2613.1185792000001</v>
      </c>
      <c r="E34" s="77">
        <f>D34*(1+Annahmen!F70)</f>
        <v>2665.3809507840001</v>
      </c>
      <c r="F34" s="77">
        <f>E34*(1+Annahmen!G70)</f>
        <v>2718.68856979968</v>
      </c>
      <c r="G34" s="66"/>
      <c r="H34" s="30"/>
      <c r="I34" s="30"/>
      <c r="J34" s="30"/>
      <c r="K34" s="30"/>
      <c r="L34" s="30"/>
      <c r="M34" s="30"/>
    </row>
    <row r="35" spans="1:13" ht="15" customHeight="1" x14ac:dyDescent="0.3">
      <c r="A35" s="30" t="s">
        <v>311</v>
      </c>
      <c r="B35" s="77">
        <f>'homie Eingaben'!E25*(1+Annahmen!C71)</f>
        <v>5302.4400000000014</v>
      </c>
      <c r="C35" s="77">
        <f>B35*(1+Annahmen!D71)</f>
        <v>5461.5132000000012</v>
      </c>
      <c r="D35" s="77">
        <f>C35*(1+Annahmen!E71)</f>
        <v>5679.9737280000018</v>
      </c>
      <c r="E35" s="77">
        <f>D35*(1+Annahmen!F71)</f>
        <v>5907.1726771200019</v>
      </c>
      <c r="F35" s="77">
        <f>E35*(1+Annahmen!G71)</f>
        <v>6143.459584204802</v>
      </c>
      <c r="G35" s="66"/>
      <c r="H35" s="30"/>
      <c r="I35" s="30"/>
      <c r="J35" s="30"/>
      <c r="K35" s="30"/>
      <c r="L35" s="30"/>
      <c r="M35" s="30"/>
    </row>
    <row r="36" spans="1:13" ht="15" customHeight="1" x14ac:dyDescent="0.3">
      <c r="A36" s="30" t="s">
        <v>312</v>
      </c>
      <c r="B36" s="77">
        <f>'homie Eingaben'!E26*(1+Annahmen!C72)</f>
        <v>11148.480000000001</v>
      </c>
      <c r="C36" s="77">
        <f>B36*(1+Annahmen!D72)</f>
        <v>11705.904000000002</v>
      </c>
      <c r="D36" s="77">
        <f>C36*(1+Annahmen!E72)</f>
        <v>12408.258240000003</v>
      </c>
      <c r="E36" s="77">
        <f>D36*(1+Annahmen!F72)</f>
        <v>13152.753734400003</v>
      </c>
      <c r="F36" s="77">
        <f>E36*(1+Annahmen!G72)</f>
        <v>13941.918958464004</v>
      </c>
      <c r="G36" s="66"/>
      <c r="H36" s="30"/>
      <c r="I36" s="30"/>
      <c r="J36" s="30"/>
      <c r="K36" s="30"/>
      <c r="L36" s="30"/>
      <c r="M36" s="30"/>
    </row>
    <row r="37" spans="1:13" ht="15" customHeight="1" x14ac:dyDescent="0.3">
      <c r="A37" s="30" t="s">
        <v>313</v>
      </c>
      <c r="B37" s="77">
        <f>'homie Eingaben'!E27*(1+Annahmen!C73)</f>
        <v>51197.999999999993</v>
      </c>
      <c r="C37" s="77">
        <f>B37*(1+Annahmen!D73)</f>
        <v>54781.859999999993</v>
      </c>
      <c r="D37" s="77">
        <f>C37*(1+Annahmen!E73)</f>
        <v>59164.408799999997</v>
      </c>
      <c r="E37" s="77">
        <f>D37*(1+Annahmen!F73)</f>
        <v>63897.561504000005</v>
      </c>
      <c r="F37" s="77">
        <f>E37*(1+Annahmen!G73)</f>
        <v>69009.366424320004</v>
      </c>
      <c r="G37" s="66"/>
      <c r="H37" s="30"/>
      <c r="I37" s="30"/>
      <c r="J37" s="30"/>
      <c r="K37" s="30"/>
      <c r="L37" s="30"/>
      <c r="M37" s="30"/>
    </row>
    <row r="38" spans="1:13" ht="15" customHeight="1" x14ac:dyDescent="0.3">
      <c r="A38" s="30" t="s">
        <v>314</v>
      </c>
      <c r="B38" s="78">
        <f>1-(1-('Unit Economics'!G4*Annahmen!C78))^12</f>
        <v>0.38729024267023271</v>
      </c>
      <c r="C38" s="78">
        <f>1-(1-('Unit Economics'!G4*Annahmen!D78))^12</f>
        <v>0.38113498441290317</v>
      </c>
      <c r="D38" s="78">
        <f>1-(1-('Unit Economics'!G4*Annahmen!E78))^12</f>
        <v>0.37492309099876209</v>
      </c>
      <c r="E38" s="78">
        <f>1-(1-('Unit Economics'!G4*Annahmen!F78))^12</f>
        <v>0.37179575832875766</v>
      </c>
      <c r="F38" s="78">
        <f>1-(1-('Unit Economics'!G4*Annahmen!G78))^12</f>
        <v>0.37179575832875766</v>
      </c>
      <c r="G38" s="66"/>
      <c r="H38" s="30"/>
      <c r="I38" s="30"/>
      <c r="J38" s="30"/>
      <c r="K38" s="30"/>
      <c r="L38" s="30"/>
      <c r="M38" s="30"/>
    </row>
    <row r="39" spans="1:13" ht="15" customHeight="1" x14ac:dyDescent="0.3">
      <c r="A39" s="30" t="s">
        <v>315</v>
      </c>
      <c r="B39" s="78">
        <f>1-(1-('Unit Economics'!G5*Annahmen!C79))^12</f>
        <v>0.30615763900456217</v>
      </c>
      <c r="C39" s="78">
        <f>1-(1-('Unit Economics'!G5*Annahmen!D79))^12</f>
        <v>0.29578692419558106</v>
      </c>
      <c r="D39" s="78">
        <f>1-(1-('Unit Economics'!G5*Annahmen!E79))^12</f>
        <v>0.28791585249925589</v>
      </c>
      <c r="E39" s="78">
        <f>1-(1-('Unit Economics'!G5*Annahmen!F79))^12</f>
        <v>0.27996421120927362</v>
      </c>
      <c r="F39" s="78">
        <f>1-(1-('Unit Economics'!G5*Annahmen!G79))^12</f>
        <v>0.27461798648529823</v>
      </c>
      <c r="G39" s="66"/>
      <c r="H39" s="30"/>
      <c r="I39" s="30"/>
      <c r="J39" s="30"/>
      <c r="K39" s="30"/>
      <c r="L39" s="30"/>
      <c r="M39" s="30"/>
    </row>
    <row r="40" spans="1:13" ht="15" customHeight="1" x14ac:dyDescent="0.3">
      <c r="A40" s="30" t="s">
        <v>316</v>
      </c>
      <c r="B40" s="78">
        <f>1-(1-('Unit Economics'!G6*Annahmen!C80))^12</f>
        <v>0.26200165417334909</v>
      </c>
      <c r="C40" s="78">
        <f>1-(1-('Unit Economics'!G6*Annahmen!D80))^12</f>
        <v>0.2505674313547801</v>
      </c>
      <c r="D40" s="78">
        <f>1-(1-('Unit Economics'!G6*Annahmen!E80))^12</f>
        <v>0.24130338005466168</v>
      </c>
      <c r="E40" s="78">
        <f>1-(1-('Unit Economics'!G6*Annahmen!F80))^12</f>
        <v>0.23428658214214448</v>
      </c>
      <c r="F40" s="78">
        <f>1-(1-('Unit Economics'!G6*Annahmen!G80))^12</f>
        <v>0.22721034311817945</v>
      </c>
      <c r="G40" s="66"/>
      <c r="H40" s="30"/>
      <c r="I40" s="30"/>
      <c r="J40" s="30"/>
      <c r="K40" s="30"/>
      <c r="L40" s="30"/>
      <c r="M40" s="30"/>
    </row>
    <row r="41" spans="1:13" ht="15" customHeight="1" x14ac:dyDescent="0.3">
      <c r="A41" s="30" t="s">
        <v>317</v>
      </c>
      <c r="B41" s="78">
        <f>1-(1-('Unit Economics'!G7*Annahmen!C81))^12</f>
        <v>0.16586803165912289</v>
      </c>
      <c r="C41" s="78">
        <f>1-(1-('Unit Economics'!G7*Annahmen!D81))^12</f>
        <v>0.16128361762347088</v>
      </c>
      <c r="D41" s="78">
        <f>1-(1-('Unit Economics'!G7*Annahmen!E81))^12</f>
        <v>0.1582145226480085</v>
      </c>
      <c r="E41" s="78">
        <f>1-(1-('Unit Economics'!G7*Annahmen!F81))^12</f>
        <v>0.15513513603222517</v>
      </c>
      <c r="F41" s="78">
        <f>1-(1-('Unit Economics'!G7*Annahmen!G81))^12</f>
        <v>0.15049669065030724</v>
      </c>
      <c r="G41" s="66"/>
      <c r="H41" s="30"/>
      <c r="I41" s="30"/>
      <c r="J41" s="30"/>
      <c r="K41" s="30"/>
      <c r="L41" s="30"/>
      <c r="M41" s="30"/>
    </row>
    <row r="42" spans="1:13" ht="14.25" x14ac:dyDescent="0.3">
      <c r="A42" s="30"/>
      <c r="B42" s="30"/>
      <c r="C42" s="30"/>
      <c r="D42" s="30"/>
      <c r="E42" s="30"/>
      <c r="F42" s="30"/>
      <c r="G42" s="66"/>
      <c r="H42" s="30"/>
      <c r="I42" s="30"/>
      <c r="J42" s="30"/>
      <c r="K42" s="30"/>
      <c r="L42" s="30"/>
      <c r="M42" s="30"/>
    </row>
    <row r="43" spans="1:13" ht="15" customHeight="1" x14ac:dyDescent="0.3">
      <c r="A43" s="83" t="s">
        <v>318</v>
      </c>
      <c r="B43" s="84"/>
      <c r="C43" s="84"/>
      <c r="D43" s="84"/>
      <c r="E43" s="84"/>
      <c r="F43" s="84"/>
      <c r="G43" s="66"/>
      <c r="H43" s="30"/>
      <c r="I43" s="30"/>
      <c r="J43" s="30"/>
      <c r="K43" s="30"/>
      <c r="L43" s="30"/>
      <c r="M43" s="30"/>
    </row>
    <row r="44" spans="1:13" ht="15" customHeight="1" x14ac:dyDescent="0.3">
      <c r="A44" s="30" t="s">
        <v>319</v>
      </c>
      <c r="B44" s="79">
        <f>B5*B34+B12*B35+B19*B36+B26*B37</f>
        <v>738498.72000000009</v>
      </c>
      <c r="C44" s="79">
        <f>C5*C34+C12*C35+C19*C36+C26*C37</f>
        <v>954408.42864000006</v>
      </c>
      <c r="D44" s="79">
        <f>D5*D34+D12*D35+D19*D36+D26*D37</f>
        <v>1159791.3607104002</v>
      </c>
      <c r="E44" s="79">
        <f>E5*E34+E12*E35+E19*E36+E26*E37</f>
        <v>1326580.2294359042</v>
      </c>
      <c r="F44" s="79">
        <f>F5*F34+F12*F35+F19*F36+F26*F37</f>
        <v>1457517.8296010653</v>
      </c>
      <c r="G44" s="66"/>
      <c r="H44" s="30"/>
      <c r="I44" s="30"/>
      <c r="J44" s="30"/>
      <c r="K44" s="30"/>
      <c r="L44" s="30"/>
      <c r="M44" s="30"/>
    </row>
    <row r="45" spans="1:13" ht="15" customHeight="1" x14ac:dyDescent="0.3">
      <c r="A45" s="30" t="s">
        <v>320</v>
      </c>
      <c r="B45" s="79">
        <f>B7*B34+B14*B35+B21*B36+B28*B37</f>
        <v>364301.83200000005</v>
      </c>
      <c r="C45" s="79">
        <f>C7*C34+C14*C35+C21*C36+C28*C37</f>
        <v>375829.86551999999</v>
      </c>
      <c r="D45" s="79">
        <f>D7*D34+D14*D35+D21*D36+D28*D37</f>
        <v>362238.88210560003</v>
      </c>
      <c r="E45" s="79">
        <f>E7*E34+E14*E35+E21*E36+E28*E37</f>
        <v>330731.18553600006</v>
      </c>
      <c r="F45" s="79">
        <f>F7*F34+F14*F35+F21*F36+F28*F37</f>
        <v>372918.07622780936</v>
      </c>
      <c r="G45" s="66"/>
      <c r="H45" s="30"/>
      <c r="I45" s="30"/>
      <c r="J45" s="30"/>
      <c r="K45" s="30"/>
      <c r="L45" s="30"/>
      <c r="M45" s="30"/>
    </row>
    <row r="46" spans="1:13" ht="15" customHeight="1" x14ac:dyDescent="0.3">
      <c r="A46" s="30" t="s">
        <v>321</v>
      </c>
      <c r="B46" s="79">
        <f>(B5*B34)*(Annahmen!C50+Annahmen!C94)+(B12*B35)*(Annahmen!C51+Annahmen!C95)+(B19*B36)*(Annahmen!C52+Annahmen!C96)+(B26*B37)*(Annahmen!C53+Annahmen!C97)</f>
        <v>95007.604800000001</v>
      </c>
      <c r="C46" s="79">
        <f>(C5*C34)*(Annahmen!C50+Annahmen!D94)+(C12*C35)*(Annahmen!C51+Annahmen!D95)+(C19*C36)*(Annahmen!C52+Annahmen!D96)+(C26*C37)*(Annahmen!C53+Annahmen!D97)</f>
        <v>126257.80779360002</v>
      </c>
      <c r="D46" s="79">
        <f>(D5*D34)*(Annahmen!C50+Annahmen!E94)+(D12*D35)*(Annahmen!C51+Annahmen!E95)+(D19*D36)*(Annahmen!C52+Annahmen!E96)+(D26*D37)*(Annahmen!C53+Annahmen!E97)</f>
        <v>159735.70139097603</v>
      </c>
      <c r="E46" s="79">
        <f>(E5*E34)*(Annahmen!C50+Annahmen!F94)+(E12*E35)*(Annahmen!C51+Annahmen!F95)+(E19*E36)*(Annahmen!C52+Annahmen!F96)+(E26*E37)*(Annahmen!C53+Annahmen!F97)</f>
        <v>194325.33106734342</v>
      </c>
      <c r="F46" s="79">
        <f>(F5*F34)*(Annahmen!C50+Annahmen!G94)+(F12*F35)*(Annahmen!C51+Annahmen!G95)+(F19*F36)*(Annahmen!C52+Annahmen!G96)+(F26*F37)*(Annahmen!C53+Annahmen!G97)</f>
        <v>231635.7741620497</v>
      </c>
      <c r="G46" s="66"/>
      <c r="H46" s="30"/>
      <c r="I46" s="30"/>
      <c r="J46" s="30"/>
      <c r="K46" s="30"/>
      <c r="L46" s="30"/>
      <c r="M46" s="30"/>
    </row>
    <row r="47" spans="1:13" ht="15" customHeight="1" x14ac:dyDescent="0.3">
      <c r="A47" s="30" t="s">
        <v>322</v>
      </c>
      <c r="B47" s="79">
        <f>(B5*B34*B38)+(B12*B35*B39)+(B19*B36*B40)+(B26*B37*B41)</f>
        <v>188489.90733257757</v>
      </c>
      <c r="C47" s="79">
        <f>(C5*C34*C38)+(C12*C35*C39)+(C19*C36*C40)+(C26*C37*C41)</f>
        <v>235572.03657140408</v>
      </c>
      <c r="D47" s="79">
        <f>(D5*D34*D38)+(D12*D35*D39)+(D19*D36*D40)+(D26*D37*D41)</f>
        <v>275256.1246033152</v>
      </c>
      <c r="E47" s="79">
        <f>(E5*E34*E38)+(E12*E35*E39)+(E19*E36*E40)+(E26*E37*E41)</f>
        <v>301443.48355094728</v>
      </c>
      <c r="F47" s="79">
        <f>(F5*F34*F38)+(F12*F35*F39)+(F19*F36*F40)+(F26*F37*F41)</f>
        <v>315098.48117132403</v>
      </c>
      <c r="G47" s="66"/>
      <c r="H47" s="30"/>
      <c r="I47" s="30"/>
      <c r="J47" s="30"/>
      <c r="K47" s="30"/>
      <c r="L47" s="30"/>
      <c r="M47" s="30"/>
    </row>
    <row r="48" spans="1:13" ht="15" customHeight="1" x14ac:dyDescent="0.3">
      <c r="A48" s="30" t="s">
        <v>29</v>
      </c>
      <c r="B48" s="79">
        <f>B45+B46-B47</f>
        <v>270819.52946742246</v>
      </c>
      <c r="C48" s="79">
        <f>C45+C46-C47</f>
        <v>266515.63674219593</v>
      </c>
      <c r="D48" s="79">
        <f>D45+D46-D47</f>
        <v>246718.45889326086</v>
      </c>
      <c r="E48" s="79">
        <f>E45+E46-E47</f>
        <v>223613.03305239615</v>
      </c>
      <c r="F48" s="79">
        <f>F45+F46-F47</f>
        <v>289455.36921853502</v>
      </c>
      <c r="G48" s="66"/>
      <c r="H48" s="30"/>
      <c r="I48" s="30"/>
      <c r="J48" s="30"/>
      <c r="K48" s="30"/>
      <c r="L48" s="30"/>
      <c r="M48" s="30"/>
    </row>
    <row r="49" spans="1:13" ht="15" customHeight="1" x14ac:dyDescent="0.3">
      <c r="A49" s="80" t="s">
        <v>323</v>
      </c>
      <c r="B49" s="81">
        <f>B44+B48</f>
        <v>1009318.2494674225</v>
      </c>
      <c r="C49" s="81">
        <f>C44+C48</f>
        <v>1220924.0653821961</v>
      </c>
      <c r="D49" s="81">
        <f>D44+D48</f>
        <v>1406509.8196036611</v>
      </c>
      <c r="E49" s="81">
        <f>E44+E48</f>
        <v>1550193.2624883004</v>
      </c>
      <c r="F49" s="81">
        <f>F44+F48</f>
        <v>1746973.1988196003</v>
      </c>
      <c r="G49" s="66"/>
      <c r="H49" s="30"/>
      <c r="I49" s="30"/>
      <c r="J49" s="30"/>
      <c r="K49" s="30"/>
      <c r="L49" s="30"/>
      <c r="M49" s="30"/>
    </row>
    <row r="50" spans="1:13" ht="15" customHeight="1" x14ac:dyDescent="0.3">
      <c r="A50" s="30" t="s">
        <v>24</v>
      </c>
      <c r="B50" s="72">
        <f>IF(B44&gt;0,B49/B44-1,0)</f>
        <v>0.36671631532065807</v>
      </c>
      <c r="C50" s="72">
        <f>IF(B49&gt;0,C49/B49-1,0)</f>
        <v>0.20965222418838625</v>
      </c>
      <c r="D50" s="72">
        <f>IF(C49&gt;0,D49/C49-1,0)</f>
        <v>0.15200433793019674</v>
      </c>
      <c r="E50" s="72">
        <f>IF(D49&gt;0,E49/D49-1,0)</f>
        <v>0.1021560183100092</v>
      </c>
      <c r="F50" s="72">
        <f>IF(E49&gt;0,F49/E49-1,0)</f>
        <v>0.12693897018713485</v>
      </c>
      <c r="G50" s="66"/>
      <c r="H50" s="30"/>
      <c r="I50" s="30"/>
      <c r="J50" s="30"/>
      <c r="K50" s="30"/>
      <c r="L50" s="30"/>
      <c r="M50" s="30"/>
    </row>
    <row r="51" spans="1:13" ht="15" customHeight="1" x14ac:dyDescent="0.3">
      <c r="A51" s="30" t="s">
        <v>324</v>
      </c>
      <c r="B51" s="72">
        <f>IF(B49&gt;0,B52/B49,0)</f>
        <v>0.80359444807031344</v>
      </c>
      <c r="C51" s="72">
        <f>IF(C49&gt;0,C52/C49,0)</f>
        <v>0.80390326014563041</v>
      </c>
      <c r="D51" s="72">
        <f>IF(D49&gt;0,D52/D49,0)</f>
        <v>0.80428366758405834</v>
      </c>
      <c r="E51" s="72">
        <f>IF(E49&gt;0,E52/E49,0)</f>
        <v>0.80431720810092044</v>
      </c>
      <c r="F51" s="72">
        <f>IF(F49&gt;0,F52/F49,0)</f>
        <v>0.80441684511995415</v>
      </c>
      <c r="G51" s="66"/>
      <c r="H51" s="30"/>
      <c r="I51" s="30"/>
      <c r="J51" s="30"/>
      <c r="K51" s="30"/>
      <c r="L51" s="30"/>
      <c r="M51" s="30"/>
    </row>
    <row r="52" spans="1:13" ht="15" customHeight="1" x14ac:dyDescent="0.3">
      <c r="A52" s="80" t="s">
        <v>325</v>
      </c>
      <c r="B52" s="81">
        <f>((B5*B34)+(B7*B34)+((B5*B34)*(Annahmen!C50+Annahmen!C94))-(B5*B34*B38))*'Unit Economics'!E4+((B12*B35)+(B14*B35)+((B12*B35)*(Annahmen!C51+Annahmen!C95))-(B12*B35*B39))*'Unit Economics'!E5+((B19*B36)+(B21*B36)+((B19*B36)*(Annahmen!C52+Annahmen!C96))-(B19*B36*B40))*'Unit Economics'!E6+((B26*B37)+(B28*B37)+((B26*B37)*(Annahmen!C53+Annahmen!C97))-(B26*B37*B41))*'Unit Economics'!E7</f>
        <v>811082.54160806828</v>
      </c>
      <c r="C52" s="81">
        <f>((C5*C34)+(C7*C34)+((C5*C34)*(Annahmen!C50+Annahmen!D94))-(C5*C34*C38))*'Unit Economics'!E4+((C12*C35)+(C14*C35)+((C12*C35)*(Annahmen!C51+Annahmen!D95))-(C12*C35*C39))*'Unit Economics'!E5+((C19*C36)+(C21*C36)+((C19*C36)*(Annahmen!C52+Annahmen!D96))-(C19*C36*C40))*'Unit Economics'!E6+((C26*C37)+(C28*C37)+((C26*C37)*(Annahmen!C53+Annahmen!D97))-(C26*C37*C41))*'Unit Economics'!E7</f>
        <v>981504.83655100432</v>
      </c>
      <c r="D52" s="81">
        <f>((D5*D34)+(D7*D34)+((D5*D34)*(Annahmen!C50+Annahmen!E94))-(D5*D34*D38))*'Unit Economics'!E4+((D12*D35)+(D14*D35)+((D12*D35)*(Annahmen!C51+Annahmen!E95))-(D12*D35*D39))*'Unit Economics'!E5+((D19*D36)+(D21*D36)+((D19*D36)*(Annahmen!C52+Annahmen!E96))-(D19*D36*D40))*'Unit Economics'!E6+((D26*D37)+(D28*D37)+((D26*D37)*(Annahmen!C53+Annahmen!E97))-(D26*D37*D41))*'Unit Economics'!E7</f>
        <v>1131232.8762038248</v>
      </c>
      <c r="E52" s="81">
        <f>((E5*E34)+(E7*E34)+((E5*E34)*(Annahmen!C50+Annahmen!F94))-(E5*E34*E38))*'Unit Economics'!E4+((E12*E35)+(E14*E35)+((E12*E35)*(Annahmen!C51+Annahmen!F95))-(E12*E35*E39))*'Unit Economics'!E5+((E19*E36)+(E21*E36)+((E19*E36)*(Annahmen!C52+Annahmen!F96))-(E19*E36*E40))*'Unit Economics'!E6+((E26*E37)+(E28*E37)+((E26*E37)*(Annahmen!C53+Annahmen!F97))-(E26*E37*E41))*'Unit Economics'!E7</f>
        <v>1246847.1169014471</v>
      </c>
      <c r="F52" s="81">
        <f>((F5*F34)+(F7*F34)+((F5*F34)*(Annahmen!C50+Annahmen!G94))-(F5*F34*F38))*'Unit Economics'!E4+((F12*F35)+(F14*F35)+((F12*F35)*(Annahmen!C51+Annahmen!G95))-(F12*F35*F39))*'Unit Economics'!E5+((F19*F36)+(F21*F36)+((F19*F36)*(Annahmen!C52+Annahmen!G96))-(F19*F36*F40))*'Unit Economics'!E6+((F26*F37)+(F28*F37)+((F26*F37)*(Annahmen!C53+Annahmen!G97))-(F26*F37*F41))*'Unit Economics'!E7</f>
        <v>1405294.6691035773</v>
      </c>
      <c r="G52" s="66"/>
      <c r="H52" s="30"/>
      <c r="I52" s="30"/>
      <c r="J52" s="30"/>
      <c r="K52" s="30"/>
      <c r="L52" s="30"/>
      <c r="M52" s="30"/>
    </row>
    <row r="53" spans="1:13" ht="15" customHeight="1" x14ac:dyDescent="0.3">
      <c r="A53" s="30" t="s">
        <v>326</v>
      </c>
      <c r="B53" s="79">
        <f>B7*'Unit Economics'!L4*Annahmen!C86+B14*'Unit Economics'!L5*Annahmen!C87+B21*'Unit Economics'!L6*Annahmen!C88+B28*'Unit Economics'!L7*Annahmen!C89</f>
        <v>176995.28544000001</v>
      </c>
      <c r="C53" s="79">
        <f>C7*'Unit Economics'!L4*Annahmen!D86+C14*'Unit Economics'!L5*Annahmen!D87+C21*'Unit Economics'!L6*Annahmen!D88+C28*'Unit Economics'!L7*Annahmen!D89</f>
        <v>169039.01423999999</v>
      </c>
      <c r="D53" s="79">
        <f>D7*'Unit Economics'!L4*Annahmen!E86+D14*'Unit Economics'!L5*Annahmen!E87+D21*'Unit Economics'!L6*Annahmen!E88+D28*'Unit Economics'!L7*Annahmen!E89</f>
        <v>155202.52656000003</v>
      </c>
      <c r="E53" s="79">
        <f>E7*'Unit Economics'!L4*Annahmen!F86+E14*'Unit Economics'!L5*Annahmen!F87+E21*'Unit Economics'!L6*Annahmen!F88+E28*'Unit Economics'!L7*Annahmen!F89</f>
        <v>139526.66580000002</v>
      </c>
      <c r="F53" s="79">
        <f>F7*'Unit Economics'!L4*Annahmen!G86+F14*'Unit Economics'!L5*Annahmen!G87+F21*'Unit Economics'!L6*Annahmen!G88+F28*'Unit Economics'!L7*Annahmen!G89</f>
        <v>154569.44256</v>
      </c>
      <c r="G53" s="66"/>
      <c r="H53" s="30"/>
      <c r="I53" s="30"/>
      <c r="J53" s="30"/>
      <c r="K53" s="30"/>
      <c r="L53" s="30"/>
      <c r="M53" s="30"/>
    </row>
    <row r="54" spans="1:13" ht="15" customHeight="1" x14ac:dyDescent="0.3">
      <c r="A54" s="83" t="s">
        <v>327</v>
      </c>
      <c r="B54" s="84"/>
      <c r="C54" s="84"/>
      <c r="D54" s="84"/>
      <c r="E54" s="84"/>
      <c r="F54" s="84"/>
      <c r="G54" s="66"/>
      <c r="H54" s="30"/>
      <c r="I54" s="30"/>
      <c r="J54" s="30"/>
      <c r="K54" s="30"/>
      <c r="L54" s="30"/>
      <c r="M54" s="30"/>
    </row>
    <row r="55" spans="1:13" ht="15" customHeight="1" x14ac:dyDescent="0.3">
      <c r="A55" s="30" t="s">
        <v>328</v>
      </c>
      <c r="B55" s="79">
        <f>B7*Annahmen!$C$102+B14*Annahmen!$C$103+B21*Annahmen!$C$104+B28*Annahmen!$C$105</f>
        <v>16.649999999999999</v>
      </c>
      <c r="C55" s="79">
        <f>C7*Annahmen!$C$102+C14*Annahmen!$C$103+C21*Annahmen!$C$104+C28*Annahmen!$C$105</f>
        <v>16.45</v>
      </c>
      <c r="D55" s="79">
        <f>D7*Annahmen!$C$102+D14*Annahmen!$C$103+D21*Annahmen!$C$104+D28*Annahmen!$C$105</f>
        <v>14.75</v>
      </c>
      <c r="E55" s="79">
        <f>E7*Annahmen!$C$102+E14*Annahmen!$C$103+E21*Annahmen!$C$104+E28*Annahmen!$C$105</f>
        <v>12.100000000000001</v>
      </c>
      <c r="F55" s="79">
        <f>F7*Annahmen!$C$102+F14*Annahmen!$C$103+F21*Annahmen!$C$104+F28*Annahmen!$C$105</f>
        <v>13.25</v>
      </c>
      <c r="G55" s="66"/>
      <c r="H55" s="30"/>
      <c r="I55" s="30"/>
      <c r="J55" s="30"/>
      <c r="K55" s="30"/>
      <c r="L55" s="30"/>
      <c r="M55" s="30"/>
    </row>
    <row r="56" spans="1:13" ht="15" customHeight="1" x14ac:dyDescent="0.3">
      <c r="A56" s="30" t="s">
        <v>329</v>
      </c>
      <c r="B56" s="79">
        <f>ROUNDUP(B55/Annahmen!$C$101,0)</f>
        <v>3</v>
      </c>
      <c r="C56" s="79">
        <f>ROUNDUP(C55/Annahmen!$C$101,0)</f>
        <v>3</v>
      </c>
      <c r="D56" s="79">
        <f>ROUNDUP(D55/Annahmen!$C$101,0)</f>
        <v>3</v>
      </c>
      <c r="E56" s="79">
        <f>ROUNDUP(E55/Annahmen!$C$101,0)</f>
        <v>3</v>
      </c>
      <c r="F56" s="79">
        <f>ROUNDUP(F55/Annahmen!$C$101,0)</f>
        <v>3</v>
      </c>
      <c r="G56" s="66"/>
      <c r="H56" s="30"/>
      <c r="I56" s="30"/>
      <c r="J56" s="30"/>
      <c r="K56" s="30"/>
      <c r="L56" s="30"/>
      <c r="M56" s="30"/>
    </row>
    <row r="57" spans="1:13" ht="15" customHeight="1" x14ac:dyDescent="0.3">
      <c r="A57" s="30" t="s">
        <v>330</v>
      </c>
      <c r="B57" s="79">
        <f>B9*Annahmen!$C$107+B16*Annahmen!$C$108+B23*Annahmen!$C$109+B30*Annahmen!$C$110</f>
        <v>58.2</v>
      </c>
      <c r="C57" s="79">
        <f>C9*Annahmen!$C$107+C16*Annahmen!$C$108+C23*Annahmen!$C$109+C30*Annahmen!$C$110</f>
        <v>67.099999999999994</v>
      </c>
      <c r="D57" s="79">
        <f>D9*Annahmen!$C$107+D16*Annahmen!$C$108+D23*Annahmen!$C$109+D30*Annahmen!$C$110</f>
        <v>72.2</v>
      </c>
      <c r="E57" s="79">
        <f>E9*Annahmen!$C$107+E16*Annahmen!$C$108+E23*Annahmen!$C$109+E30*Annahmen!$C$110</f>
        <v>73.95</v>
      </c>
      <c r="F57" s="79">
        <f>F9*Annahmen!$C$107+F16*Annahmen!$C$108+F23*Annahmen!$C$109+F30*Annahmen!$C$110</f>
        <v>77.7</v>
      </c>
      <c r="G57" s="66"/>
      <c r="H57" s="30"/>
      <c r="I57" s="30"/>
      <c r="J57" s="30"/>
      <c r="K57" s="30"/>
      <c r="L57" s="30"/>
      <c r="M57" s="30"/>
    </row>
    <row r="58" spans="1:13" ht="15" customHeight="1" x14ac:dyDescent="0.3">
      <c r="A58" s="30" t="s">
        <v>331</v>
      </c>
      <c r="B58" s="79">
        <f>ROUNDUP(B57/Annahmen!$C$106,0)</f>
        <v>1</v>
      </c>
      <c r="C58" s="79">
        <f>ROUNDUP(C57/Annahmen!$C$106,0)</f>
        <v>1</v>
      </c>
      <c r="D58" s="79">
        <f>ROUNDUP(D57/Annahmen!$C$106,0)</f>
        <v>1</v>
      </c>
      <c r="E58" s="79">
        <f>ROUNDUP(E57/Annahmen!$C$106,0)</f>
        <v>1</v>
      </c>
      <c r="F58" s="79">
        <f>ROUNDUP(F57/Annahmen!$C$106,0)</f>
        <v>1</v>
      </c>
      <c r="G58" s="66"/>
      <c r="H58" s="30"/>
      <c r="I58" s="30"/>
      <c r="J58" s="30"/>
      <c r="K58" s="30"/>
      <c r="L58" s="30"/>
      <c r="M58" s="30"/>
    </row>
    <row r="59" spans="1:13" ht="15" customHeight="1" x14ac:dyDescent="0.3">
      <c r="A59" s="30" t="s">
        <v>332</v>
      </c>
      <c r="B59" s="79">
        <f>((Annahmen!$C$58*Annahmen!$C$29)+(Annahmen!$C$59*Annahmen!$C$30)+(Annahmen!$C$60*Annahmen!$C$31)+(MAX(Annahmen!$C$61,B56)*Annahmen!$C$32)+(MAX(Annahmen!$C$62,B58)*Annahmen!$C$33))*(1+Annahmen!$C$65)^0</f>
        <v>1055000</v>
      </c>
      <c r="C59" s="79">
        <f>((Annahmen!$C$58*Annahmen!$C$29)+(Annahmen!$C$59*Annahmen!$C$30)+(Annahmen!$C$60*Annahmen!$C$31)+(MAX(Annahmen!$C$61,C56)*Annahmen!$C$32)+(MAX(Annahmen!$C$62,C58)*Annahmen!$C$33))*(1+Annahmen!$C$65)^1</f>
        <v>1160500</v>
      </c>
      <c r="D59" s="79">
        <f>((Annahmen!$C$58*Annahmen!$C$29)+(Annahmen!$C$59*Annahmen!$C$30)+(Annahmen!$C$60*Annahmen!$C$31)+(MAX(Annahmen!$C$61,D56)*Annahmen!$C$32)+(MAX(Annahmen!$C$62,D58)*Annahmen!$C$33))*(1+Annahmen!$C$65)^2</f>
        <v>1276550.0000000002</v>
      </c>
      <c r="E59" s="79">
        <f>((Annahmen!$C$58*Annahmen!$C$29)+(Annahmen!$C$59*Annahmen!$C$30)+(Annahmen!$C$60*Annahmen!$C$31)+(MAX(Annahmen!$C$61,E56)*Annahmen!$C$32)+(MAX(Annahmen!$C$62,E58)*Annahmen!$C$33))*(1+Annahmen!$C$65)^3</f>
        <v>1404205.0000000005</v>
      </c>
      <c r="F59" s="79">
        <f>((Annahmen!$C$58*Annahmen!$C$29)+(Annahmen!$C$59*Annahmen!$C$30)+(Annahmen!$C$60*Annahmen!$C$31)+(MAX(Annahmen!$C$61,F56)*Annahmen!$C$32)+(MAX(Annahmen!$C$62,F58)*Annahmen!$C$33))*(1+Annahmen!$C$65)^4</f>
        <v>1544625.5000000005</v>
      </c>
      <c r="G59" s="66"/>
      <c r="H59" s="30"/>
      <c r="I59" s="30"/>
      <c r="J59" s="30"/>
      <c r="K59" s="30"/>
      <c r="L59" s="30"/>
      <c r="M59" s="30"/>
    </row>
    <row r="60" spans="1:13" ht="14.25" x14ac:dyDescent="0.3">
      <c r="A60" s="30"/>
      <c r="B60" s="30"/>
      <c r="C60" s="30"/>
      <c r="D60" s="30"/>
      <c r="E60" s="30"/>
      <c r="F60" s="30"/>
      <c r="G60" s="66"/>
      <c r="H60" s="30"/>
      <c r="I60" s="30"/>
      <c r="J60" s="30"/>
      <c r="K60" s="30"/>
      <c r="L60" s="30"/>
      <c r="M60" s="30"/>
    </row>
    <row r="61" spans="1:13" ht="15" customHeight="1" x14ac:dyDescent="0.3">
      <c r="A61" s="30" t="s">
        <v>333</v>
      </c>
      <c r="B61" s="79">
        <f>Annahmen!C34*12</f>
        <v>180000</v>
      </c>
      <c r="C61" s="79">
        <f>B61*(1+Annahmen!C35)</f>
        <v>198000.00000000003</v>
      </c>
      <c r="D61" s="79">
        <f>C61*(1+Annahmen!C35)</f>
        <v>217800.00000000006</v>
      </c>
      <c r="E61" s="79">
        <f>D61*(1+Annahmen!C35)</f>
        <v>239580.00000000009</v>
      </c>
      <c r="F61" s="79">
        <f>E61*(1+Annahmen!C35)</f>
        <v>263538.00000000012</v>
      </c>
      <c r="G61" s="66"/>
      <c r="H61" s="30"/>
      <c r="I61" s="30"/>
      <c r="J61" s="30"/>
      <c r="K61" s="30"/>
      <c r="L61" s="30"/>
      <c r="M61" s="30"/>
    </row>
    <row r="62" spans="1:13" ht="15" customHeight="1" x14ac:dyDescent="0.3">
      <c r="A62" s="80" t="s">
        <v>334</v>
      </c>
      <c r="B62" s="81">
        <f>B53+B59+B61-B52</f>
        <v>600912.74383193173</v>
      </c>
      <c r="C62" s="81">
        <f>C53+C59+C61-C52</f>
        <v>546034.17768899561</v>
      </c>
      <c r="D62" s="81">
        <f>D53+D59+D61-D52</f>
        <v>518319.65035617538</v>
      </c>
      <c r="E62" s="81">
        <f>E53+E59+E61-E52</f>
        <v>536464.54889855348</v>
      </c>
      <c r="F62" s="81">
        <f>F53+F59+F61-F52</f>
        <v>557438.27345642308</v>
      </c>
      <c r="G62" s="66"/>
      <c r="H62" s="30"/>
      <c r="I62" s="30"/>
      <c r="J62" s="30"/>
      <c r="K62" s="30"/>
      <c r="L62" s="30"/>
      <c r="M62" s="30"/>
    </row>
    <row r="63" spans="1:13" ht="15" customHeight="1" x14ac:dyDescent="0.3">
      <c r="A63" s="80" t="s">
        <v>335</v>
      </c>
      <c r="B63" s="81">
        <f>B49*Annahmen!C36</f>
        <v>8074545.9957393799</v>
      </c>
      <c r="C63" s="81">
        <f>C49*Annahmen!C36</f>
        <v>9767392.5230575688</v>
      </c>
      <c r="D63" s="81">
        <f>D49*Annahmen!C36</f>
        <v>11252078.556829289</v>
      </c>
      <c r="E63" s="81">
        <f>E49*Annahmen!C36</f>
        <v>12401546.099906404</v>
      </c>
      <c r="F63" s="81">
        <f>F49*Annahmen!C36</f>
        <v>13975785.590556802</v>
      </c>
      <c r="G63" s="66"/>
      <c r="H63" s="30"/>
      <c r="I63" s="30"/>
      <c r="J63" s="30"/>
      <c r="K63" s="30"/>
      <c r="L63" s="30"/>
      <c r="M63" s="30"/>
    </row>
    <row r="64" spans="1:13" ht="15" customHeight="1" x14ac:dyDescent="0.3">
      <c r="A64" s="80" t="s">
        <v>336</v>
      </c>
      <c r="B64" s="81">
        <f>B49*Annahmen!C37</f>
        <v>10093182.494674224</v>
      </c>
      <c r="C64" s="81">
        <f>C49*Annahmen!C37</f>
        <v>12209240.65382196</v>
      </c>
      <c r="D64" s="81">
        <f>D49*Annahmen!C37</f>
        <v>14065098.196036611</v>
      </c>
      <c r="E64" s="81">
        <f>E49*Annahmen!C37</f>
        <v>15501932.624883004</v>
      </c>
      <c r="F64" s="81">
        <f>F49*Annahmen!C37</f>
        <v>17469731.988196004</v>
      </c>
      <c r="G64" s="66"/>
      <c r="H64" s="30"/>
      <c r="I64" s="30"/>
      <c r="J64" s="30"/>
      <c r="K64" s="30"/>
      <c r="L64" s="30"/>
      <c r="M64" s="30"/>
    </row>
    <row r="65" spans="1:13" ht="15" customHeight="1" x14ac:dyDescent="0.3">
      <c r="A65" s="80" t="s">
        <v>337</v>
      </c>
      <c r="B65" s="81">
        <f>B49*Annahmen!C38</f>
        <v>12111818.993609071</v>
      </c>
      <c r="C65" s="81">
        <f>C49*Annahmen!C38</f>
        <v>14651088.784586353</v>
      </c>
      <c r="D65" s="81">
        <f>D49*Annahmen!C38</f>
        <v>16878117.835243933</v>
      </c>
      <c r="E65" s="81">
        <f>E49*Annahmen!C38</f>
        <v>18602319.149859607</v>
      </c>
      <c r="F65" s="81">
        <f>F49*Annahmen!C38</f>
        <v>20963678.385835204</v>
      </c>
      <c r="G65" s="66"/>
      <c r="H65" s="30"/>
      <c r="I65" s="30"/>
      <c r="J65" s="30"/>
      <c r="K65" s="30"/>
      <c r="L65" s="30"/>
      <c r="M65" s="30"/>
    </row>
    <row r="66" spans="1:13" ht="14.25" x14ac:dyDescent="0.3">
      <c r="A66" s="30"/>
      <c r="B66" s="30"/>
      <c r="C66" s="30"/>
      <c r="D66" s="30"/>
      <c r="E66" s="30"/>
      <c r="F66" s="30"/>
      <c r="G66" s="66"/>
      <c r="H66" s="30"/>
      <c r="I66" s="30"/>
      <c r="J66" s="30"/>
      <c r="K66" s="30"/>
      <c r="L66" s="30"/>
      <c r="M66" s="30"/>
    </row>
    <row r="67" spans="1:13" ht="15" customHeight="1" x14ac:dyDescent="0.3">
      <c r="A67" s="82" t="s">
        <v>338</v>
      </c>
      <c r="B67" s="30"/>
      <c r="C67" s="30"/>
      <c r="D67" s="30"/>
      <c r="E67" s="30"/>
      <c r="F67" s="30"/>
      <c r="G67" s="66"/>
      <c r="H67" s="30"/>
      <c r="I67" s="30"/>
      <c r="J67" s="30"/>
      <c r="K67" s="30"/>
      <c r="L67" s="30"/>
      <c r="M67" s="30"/>
    </row>
    <row r="68" spans="1:13" ht="15" customHeight="1" x14ac:dyDescent="0.3">
      <c r="A68" s="30" t="s">
        <v>339</v>
      </c>
      <c r="B68" s="30" t="b">
        <f>B48&gt;0</f>
        <v>1</v>
      </c>
      <c r="C68" s="30" t="b">
        <f>C48&gt;0</f>
        <v>1</v>
      </c>
      <c r="D68" s="30" t="b">
        <f>D48&gt;0</f>
        <v>1</v>
      </c>
      <c r="E68" s="30" t="b">
        <f>E48&gt;0</f>
        <v>1</v>
      </c>
      <c r="F68" s="30" t="b">
        <f>F48&gt;0</f>
        <v>1</v>
      </c>
      <c r="G68" s="66"/>
      <c r="H68" s="30"/>
      <c r="I68" s="30"/>
      <c r="J68" s="30"/>
      <c r="K68" s="30"/>
      <c r="L68" s="30"/>
      <c r="M68" s="30"/>
    </row>
    <row r="69" spans="1:13" ht="15" customHeight="1" x14ac:dyDescent="0.3">
      <c r="A69" s="30" t="s">
        <v>340</v>
      </c>
      <c r="B69" s="30" t="b">
        <f>B50&gt;0</f>
        <v>1</v>
      </c>
      <c r="C69" s="30" t="b">
        <f>C50&gt;0</f>
        <v>1</v>
      </c>
      <c r="D69" s="30" t="b">
        <f>D50&gt;0</f>
        <v>1</v>
      </c>
      <c r="E69" s="30" t="b">
        <f>E50&gt;0</f>
        <v>1</v>
      </c>
      <c r="F69" s="30" t="b">
        <f>F50&gt;0</f>
        <v>1</v>
      </c>
      <c r="G69" s="66"/>
      <c r="H69" s="30"/>
      <c r="I69" s="30"/>
      <c r="J69" s="30"/>
      <c r="K69" s="30"/>
      <c r="L69" s="30"/>
      <c r="M69" s="30"/>
    </row>
    <row r="70" spans="1:13" ht="15" customHeight="1" x14ac:dyDescent="0.3">
      <c r="A70" s="30" t="s">
        <v>341</v>
      </c>
      <c r="B70" s="30" t="b">
        <f>B51&gt;=0.75</f>
        <v>1</v>
      </c>
      <c r="C70" s="30" t="b">
        <f>C51&gt;=0.75</f>
        <v>1</v>
      </c>
      <c r="D70" s="30" t="b">
        <f>D51&gt;=0.75</f>
        <v>1</v>
      </c>
      <c r="E70" s="30" t="b">
        <f>E51&gt;=0.75</f>
        <v>1</v>
      </c>
      <c r="F70" s="30" t="b">
        <f>F51&gt;=0.75</f>
        <v>1</v>
      </c>
      <c r="G70" s="66"/>
      <c r="H70" s="30"/>
      <c r="I70" s="30"/>
      <c r="J70" s="30"/>
      <c r="K70" s="30"/>
      <c r="L70" s="30"/>
      <c r="M70" s="30"/>
    </row>
    <row r="71" spans="1:13" ht="15" customHeight="1" x14ac:dyDescent="0.3">
      <c r="A71" s="30" t="s">
        <v>342</v>
      </c>
      <c r="B71" s="30" t="b">
        <f>IF(B48&gt;0,B62/B48&lt;2,TRUE())</f>
        <v>0</v>
      </c>
      <c r="C71" s="30" t="b">
        <f>IF(C48&gt;0,C62/C48&lt;2,TRUE())</f>
        <v>0</v>
      </c>
      <c r="D71" s="30" t="b">
        <f>IF(D48&gt;0,D62/D48&lt;2,TRUE())</f>
        <v>0</v>
      </c>
      <c r="E71" s="30" t="b">
        <f>IF(E48&gt;0,E62/E48&lt;2,TRUE())</f>
        <v>0</v>
      </c>
      <c r="F71" s="30" t="b">
        <f>IF(F48&gt;0,F62/F48&lt;2,TRUE())</f>
        <v>1</v>
      </c>
      <c r="G71" s="66"/>
      <c r="H71" s="30"/>
      <c r="I71" s="30"/>
      <c r="J71" s="30"/>
      <c r="K71" s="30"/>
      <c r="L71" s="30"/>
      <c r="M71" s="30"/>
    </row>
    <row r="72" spans="1:13" ht="15" customHeight="1" x14ac:dyDescent="0.3">
      <c r="A72" s="30" t="s">
        <v>343</v>
      </c>
      <c r="B72" s="30" t="b">
        <f>B56&gt;Annahmen!$C$61</f>
        <v>1</v>
      </c>
      <c r="C72" s="30" t="b">
        <f>C56&gt;Annahmen!$C$61</f>
        <v>1</v>
      </c>
      <c r="D72" s="30" t="b">
        <f>D56&gt;Annahmen!$C$61</f>
        <v>1</v>
      </c>
      <c r="E72" s="30" t="b">
        <f>E56&gt;Annahmen!$C$61</f>
        <v>1</v>
      </c>
      <c r="F72" s="30" t="b">
        <f>F56&gt;Annahmen!$C$61</f>
        <v>1</v>
      </c>
      <c r="G72" s="66"/>
      <c r="H72" s="30"/>
      <c r="I72" s="30"/>
      <c r="J72" s="30"/>
      <c r="K72" s="30"/>
      <c r="L72" s="30"/>
      <c r="M72" s="30"/>
    </row>
    <row r="73" spans="1:13" ht="15" customHeight="1" x14ac:dyDescent="0.3">
      <c r="A73" s="30"/>
      <c r="B73" s="30"/>
      <c r="C73" s="30"/>
      <c r="D73" s="30"/>
      <c r="E73" s="30"/>
      <c r="F73" s="30"/>
      <c r="G73" s="66"/>
      <c r="H73" s="30"/>
      <c r="I73" s="30"/>
      <c r="J73" s="30"/>
      <c r="K73" s="30"/>
      <c r="L73" s="30"/>
      <c r="M73" s="30"/>
    </row>
    <row r="74" spans="1:13" ht="15" customHeight="1" x14ac:dyDescent="0.3">
      <c r="A74" s="30"/>
      <c r="B74" s="30"/>
      <c r="C74" s="30"/>
      <c r="D74" s="30"/>
      <c r="E74" s="30"/>
      <c r="F74" s="30"/>
      <c r="G74" s="66"/>
      <c r="H74" s="30"/>
      <c r="I74" s="30"/>
      <c r="J74" s="30"/>
      <c r="K74" s="30"/>
      <c r="L74" s="30"/>
      <c r="M74" s="30"/>
    </row>
    <row r="75" spans="1:13" ht="15" customHeight="1" x14ac:dyDescent="0.3">
      <c r="A75" s="30"/>
      <c r="B75" s="30"/>
      <c r="C75" s="30"/>
      <c r="D75" s="30"/>
      <c r="E75" s="30"/>
      <c r="F75" s="30"/>
      <c r="G75" s="66"/>
      <c r="H75" s="30"/>
      <c r="I75" s="30"/>
      <c r="J75" s="30"/>
      <c r="K75" s="30"/>
      <c r="L75" s="30"/>
      <c r="M75" s="30"/>
    </row>
    <row r="76" spans="1:13" ht="15" customHeight="1" x14ac:dyDescent="0.3">
      <c r="A76" s="30"/>
      <c r="B76" s="30"/>
      <c r="C76" s="30"/>
      <c r="D76" s="30"/>
      <c r="E76" s="30"/>
      <c r="F76" s="30"/>
      <c r="G76" s="66"/>
      <c r="H76" s="30"/>
      <c r="I76" s="30"/>
      <c r="J76" s="30"/>
      <c r="K76" s="30"/>
      <c r="L76" s="30"/>
      <c r="M76" s="30"/>
    </row>
    <row r="77" spans="1:13" ht="15" customHeight="1" x14ac:dyDescent="0.3">
      <c r="A77" s="30"/>
      <c r="B77" s="30"/>
      <c r="C77" s="30"/>
      <c r="D77" s="30"/>
      <c r="E77" s="30"/>
      <c r="F77" s="30"/>
      <c r="G77" s="66"/>
      <c r="H77" s="30"/>
      <c r="I77" s="30"/>
      <c r="J77" s="30"/>
      <c r="K77" s="30"/>
      <c r="L77" s="30"/>
      <c r="M77" s="30"/>
    </row>
    <row r="78" spans="1:13" ht="15" customHeight="1" x14ac:dyDescent="0.3">
      <c r="A78" s="30"/>
      <c r="B78" s="30"/>
      <c r="C78" s="30"/>
      <c r="D78" s="30"/>
      <c r="E78" s="30"/>
      <c r="F78" s="30"/>
      <c r="G78" s="66"/>
      <c r="H78" s="30"/>
      <c r="I78" s="30"/>
      <c r="J78" s="30"/>
      <c r="K78" s="30"/>
      <c r="L78" s="30"/>
      <c r="M78" s="30"/>
    </row>
    <row r="79" spans="1:13" ht="15" customHeight="1" x14ac:dyDescent="0.3">
      <c r="A79" s="30"/>
      <c r="B79" s="30"/>
      <c r="C79" s="30"/>
      <c r="D79" s="30"/>
      <c r="E79" s="30"/>
      <c r="F79" s="30"/>
      <c r="G79" s="66"/>
      <c r="H79" s="30"/>
      <c r="I79" s="30"/>
      <c r="J79" s="30"/>
      <c r="K79" s="30"/>
      <c r="L79" s="30"/>
      <c r="M79" s="30"/>
    </row>
    <row r="80" spans="1:13" ht="15" customHeight="1" x14ac:dyDescent="0.3">
      <c r="A80" s="30"/>
      <c r="B80" s="30"/>
      <c r="C80" s="30"/>
      <c r="D80" s="30"/>
      <c r="E80" s="30"/>
      <c r="F80" s="30"/>
      <c r="G80" s="66"/>
      <c r="H80" s="30"/>
      <c r="I80" s="30"/>
      <c r="J80" s="30"/>
      <c r="K80" s="30"/>
      <c r="L80" s="30"/>
      <c r="M80" s="30"/>
    </row>
    <row r="81" spans="1:13" ht="15" customHeight="1" x14ac:dyDescent="0.3">
      <c r="A81" s="30"/>
      <c r="B81" s="30"/>
      <c r="C81" s="30"/>
      <c r="D81" s="30"/>
      <c r="E81" s="30"/>
      <c r="F81" s="30"/>
      <c r="G81" s="66"/>
      <c r="H81" s="30"/>
      <c r="I81" s="30"/>
      <c r="J81" s="30"/>
      <c r="K81" s="30"/>
      <c r="L81" s="30"/>
      <c r="M81" s="30"/>
    </row>
    <row r="82" spans="1:13" ht="15" customHeight="1" x14ac:dyDescent="0.3">
      <c r="A82" s="30"/>
      <c r="B82" s="30"/>
      <c r="C82" s="30"/>
      <c r="D82" s="30"/>
      <c r="E82" s="30"/>
      <c r="F82" s="30"/>
      <c r="G82" s="66"/>
      <c r="H82" s="30"/>
      <c r="I82" s="30"/>
      <c r="J82" s="30"/>
      <c r="K82" s="30"/>
      <c r="L82" s="30"/>
      <c r="M82" s="30"/>
    </row>
    <row r="83" spans="1:13" ht="15" customHeight="1" x14ac:dyDescent="0.3">
      <c r="A83" s="30"/>
      <c r="B83" s="30"/>
      <c r="C83" s="30"/>
      <c r="D83" s="30"/>
      <c r="E83" s="30"/>
      <c r="F83" s="30"/>
      <c r="G83" s="66"/>
      <c r="H83" s="30"/>
      <c r="I83" s="30"/>
      <c r="J83" s="30"/>
      <c r="K83" s="30"/>
      <c r="L83" s="30"/>
      <c r="M83" s="30"/>
    </row>
    <row r="84" spans="1:13" ht="15" customHeight="1" x14ac:dyDescent="0.3">
      <c r="A84" s="30"/>
      <c r="B84" s="30"/>
      <c r="C84" s="30"/>
      <c r="D84" s="30"/>
      <c r="E84" s="30"/>
      <c r="F84" s="30"/>
      <c r="G84" s="66"/>
      <c r="H84" s="30"/>
      <c r="I84" s="30"/>
      <c r="J84" s="30"/>
      <c r="K84" s="30"/>
      <c r="L84" s="30"/>
      <c r="M84" s="30"/>
    </row>
    <row r="85" spans="1:13" ht="15" customHeight="1" x14ac:dyDescent="0.3">
      <c r="A85" s="30"/>
      <c r="B85" s="30"/>
      <c r="C85" s="30"/>
      <c r="D85" s="30"/>
      <c r="E85" s="30"/>
      <c r="F85" s="30"/>
      <c r="G85" s="66"/>
      <c r="H85" s="30"/>
      <c r="I85" s="30"/>
      <c r="J85" s="30"/>
      <c r="K85" s="30"/>
      <c r="L85" s="30"/>
      <c r="M85" s="30"/>
    </row>
    <row r="86" spans="1:13" ht="15" customHeight="1" x14ac:dyDescent="0.3">
      <c r="A86" s="30"/>
      <c r="B86" s="30"/>
      <c r="C86" s="30"/>
      <c r="D86" s="30"/>
      <c r="E86" s="30"/>
      <c r="F86" s="30"/>
      <c r="G86" s="66"/>
      <c r="H86" s="30"/>
      <c r="I86" s="30"/>
      <c r="J86" s="30"/>
      <c r="K86" s="30"/>
      <c r="L86" s="30"/>
      <c r="M86" s="30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7"/>
  <sheetViews>
    <sheetView showGridLines="0" tabSelected="1" zoomScaleNormal="100" workbookViewId="0">
      <selection activeCell="K14" sqref="K14"/>
    </sheetView>
  </sheetViews>
  <sheetFormatPr defaultColWidth="8.7109375" defaultRowHeight="15" customHeight="1" x14ac:dyDescent="0.25"/>
  <cols>
    <col min="1" max="7" width="14" style="1" customWidth="1"/>
    <col min="8" max="8" width="17.85546875" style="1" bestFit="1" customWidth="1"/>
    <col min="9" max="16" width="14" style="1" customWidth="1"/>
    <col min="17" max="26" width="12" style="1" hidden="1" customWidth="1"/>
  </cols>
  <sheetData>
    <row r="1" spans="1:26" ht="21.75" customHeight="1" x14ac:dyDescent="0.3">
      <c r="A1" s="22" t="s">
        <v>344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1">
        <f>'5-Jahres-Projektion'!B3</f>
        <v>2026</v>
      </c>
      <c r="S1" s="1">
        <f>'5-Jahres-Projektion'!C3</f>
        <v>2027</v>
      </c>
      <c r="T1" s="1">
        <f>'5-Jahres-Projektion'!D3</f>
        <v>2028</v>
      </c>
      <c r="U1" s="1">
        <f>'5-Jahres-Projektion'!E3</f>
        <v>2029</v>
      </c>
      <c r="V1" s="1">
        <f>'5-Jahres-Projektion'!F3</f>
        <v>2030</v>
      </c>
    </row>
    <row r="2" spans="1:26" ht="21.75" customHeight="1" x14ac:dyDescent="0.3">
      <c r="A2" s="31" t="s">
        <v>345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R2" s="1">
        <f>'5-Jahres-Projektion'!B49</f>
        <v>1009318.2494674225</v>
      </c>
      <c r="S2" s="1">
        <f>'5-Jahres-Projektion'!C49</f>
        <v>1220924.0653821961</v>
      </c>
      <c r="T2" s="1">
        <f>'5-Jahres-Projektion'!D49</f>
        <v>1406509.8196036611</v>
      </c>
      <c r="U2" s="1">
        <f>'5-Jahres-Projektion'!E49</f>
        <v>1550193.2624883004</v>
      </c>
      <c r="V2" s="1">
        <f>'5-Jahres-Projektion'!F49</f>
        <v>1746973.1988196003</v>
      </c>
    </row>
    <row r="3" spans="1:26" ht="18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26" ht="18" customHeight="1" x14ac:dyDescent="0.25">
      <c r="A4" s="32" t="s">
        <v>346</v>
      </c>
      <c r="B4" s="33"/>
      <c r="C4" s="32" t="s">
        <v>347</v>
      </c>
      <c r="D4" s="33"/>
      <c r="E4" s="32" t="s">
        <v>348</v>
      </c>
      <c r="F4" s="33"/>
      <c r="G4" s="32" t="s">
        <v>349</v>
      </c>
      <c r="H4" s="33"/>
      <c r="I4" s="32" t="s">
        <v>350</v>
      </c>
      <c r="J4" s="33"/>
      <c r="K4" s="34" t="s">
        <v>351</v>
      </c>
      <c r="L4" s="35"/>
      <c r="M4" s="35"/>
      <c r="N4" s="35"/>
      <c r="O4" s="35"/>
      <c r="P4" s="33"/>
    </row>
    <row r="5" spans="1:26" ht="18" customHeight="1" x14ac:dyDescent="0.25">
      <c r="A5" s="36">
        <f>'5-Jahres-Projektion'!F49</f>
        <v>1746973.1988196003</v>
      </c>
      <c r="B5" s="37"/>
      <c r="C5" s="38">
        <f>'5-Jahres-Projektion'!F50</f>
        <v>0.12693897018713485</v>
      </c>
      <c r="D5" s="37"/>
      <c r="E5" s="36">
        <f>'5-Jahres-Projektion'!F48</f>
        <v>289455.36921853502</v>
      </c>
      <c r="F5" s="37"/>
      <c r="G5" s="38">
        <f>'5-Jahres-Projektion'!F51</f>
        <v>0.80441684511995415</v>
      </c>
      <c r="H5" s="37"/>
      <c r="I5" s="39">
        <f>IF('5-Jahres-Projektion'!F48&gt;0,'5-Jahres-Projektion'!F62/'5-Jahres-Projektion'!F48,0)</f>
        <v>1.9258177001911629</v>
      </c>
      <c r="J5" s="37"/>
      <c r="K5" s="40" t="str">
        <f>TEXT('5-Jahres-Projektion'!F63,"€#,##0")&amp;" – "&amp;TEXT('5-Jahres-Projektion'!F65,"€#,##0")</f>
        <v>€13,975,786 – €20,963,678</v>
      </c>
      <c r="L5" s="33"/>
      <c r="M5" s="40" t="s">
        <v>352</v>
      </c>
      <c r="N5" s="33"/>
      <c r="O5" s="40" t="s">
        <v>353</v>
      </c>
      <c r="P5" s="33"/>
      <c r="R5" s="1" t="s">
        <v>190</v>
      </c>
      <c r="S5" s="1">
        <f>'5-Jahres-Projektion'!M4</f>
        <v>125059.67421078528</v>
      </c>
    </row>
    <row r="6" spans="1:26" ht="18" customHeight="1" x14ac:dyDescent="0.25">
      <c r="A6" s="41"/>
      <c r="B6" s="42"/>
      <c r="C6" s="41"/>
      <c r="D6" s="42"/>
      <c r="E6" s="41"/>
      <c r="F6" s="42"/>
      <c r="G6" s="41"/>
      <c r="H6" s="42"/>
      <c r="I6" s="41"/>
      <c r="J6" s="42"/>
      <c r="K6" s="43"/>
      <c r="L6" s="33"/>
      <c r="M6" s="43">
        <f>'5-Jahres-Projektion'!F64</f>
        <v>17469731.988196004</v>
      </c>
      <c r="N6" s="33"/>
      <c r="O6" s="43">
        <f>'5-Jahres-Projektion'!F65</f>
        <v>20963678.385835204</v>
      </c>
      <c r="P6" s="33"/>
      <c r="R6" s="1" t="s">
        <v>191</v>
      </c>
      <c r="S6" s="1">
        <f>'5-Jahres-Projektion'!M5</f>
        <v>282599.14087342087</v>
      </c>
    </row>
    <row r="7" spans="1:26" s="19" customFormat="1" ht="27.75" customHeight="1" x14ac:dyDescent="0.25">
      <c r="A7" s="137" t="s">
        <v>354</v>
      </c>
      <c r="B7" s="138"/>
      <c r="C7" s="137" t="s">
        <v>355</v>
      </c>
      <c r="D7" s="138"/>
      <c r="E7" s="137" t="s">
        <v>356</v>
      </c>
      <c r="F7" s="138"/>
      <c r="G7" s="137" t="s">
        <v>357</v>
      </c>
      <c r="H7" s="138"/>
      <c r="I7" s="137" t="s">
        <v>358</v>
      </c>
      <c r="J7" s="138"/>
      <c r="K7" s="45" t="s">
        <v>359</v>
      </c>
      <c r="L7" s="139"/>
      <c r="M7" s="139"/>
      <c r="N7" s="139"/>
      <c r="O7" s="139"/>
      <c r="P7" s="138"/>
      <c r="Q7" s="18"/>
      <c r="R7" s="18" t="s">
        <v>192</v>
      </c>
      <c r="S7" s="18">
        <f>'5-Jahres-Projektion'!M6</f>
        <v>446141.40667084814</v>
      </c>
      <c r="T7" s="18"/>
      <c r="U7" s="18"/>
      <c r="V7" s="18"/>
      <c r="W7" s="18"/>
      <c r="X7" s="18"/>
      <c r="Y7" s="18"/>
      <c r="Z7" s="18"/>
    </row>
    <row r="8" spans="1:26" ht="18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R8" s="1" t="s">
        <v>193</v>
      </c>
      <c r="S8" s="1">
        <f>'5-Jahres-Projektion'!M7</f>
        <v>690093.6642432001</v>
      </c>
    </row>
    <row r="9" spans="1:26" ht="21.75" customHeight="1" x14ac:dyDescent="0.25">
      <c r="A9" s="46" t="s">
        <v>360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3"/>
    </row>
    <row r="10" spans="1:26" ht="18" customHeight="1" x14ac:dyDescent="0.3">
      <c r="A10" s="32" t="s">
        <v>361</v>
      </c>
      <c r="B10" s="33"/>
      <c r="C10" s="24"/>
      <c r="D10" s="24"/>
      <c r="E10" s="32" t="s">
        <v>362</v>
      </c>
      <c r="F10" s="33"/>
      <c r="G10" s="24"/>
      <c r="H10" s="32" t="s">
        <v>363</v>
      </c>
      <c r="I10" s="33"/>
      <c r="J10" s="24"/>
      <c r="K10" s="24"/>
      <c r="L10" s="24"/>
      <c r="M10" s="24"/>
      <c r="N10" s="24"/>
      <c r="O10" s="24"/>
      <c r="P10" s="24"/>
      <c r="R10" s="1" t="s">
        <v>364</v>
      </c>
      <c r="S10" s="1">
        <f>'5-Jahres-Projektion'!F45</f>
        <v>372918.07622780936</v>
      </c>
    </row>
    <row r="11" spans="1:26" ht="18" customHeight="1" x14ac:dyDescent="0.3">
      <c r="A11" s="47">
        <f>'5-Jahres-Projektion'!B3</f>
        <v>2026</v>
      </c>
      <c r="B11" s="48">
        <f>'5-Jahres-Projektion'!B49</f>
        <v>1009318.2494674225</v>
      </c>
      <c r="C11" s="24"/>
      <c r="D11" s="24"/>
      <c r="E11" s="47" t="s">
        <v>190</v>
      </c>
      <c r="F11" s="48">
        <f>'5-Jahres-Projektion'!M4</f>
        <v>125059.67421078528</v>
      </c>
      <c r="G11" s="24"/>
      <c r="H11" s="47" t="s">
        <v>364</v>
      </c>
      <c r="I11" s="48">
        <f>'5-Jahres-Projektion'!F45</f>
        <v>372918.07622780936</v>
      </c>
      <c r="J11" s="24"/>
      <c r="K11" s="24"/>
      <c r="L11" s="24"/>
      <c r="M11" s="24"/>
      <c r="N11" s="24"/>
      <c r="O11" s="24"/>
      <c r="P11" s="24"/>
      <c r="R11" s="1" t="s">
        <v>321</v>
      </c>
      <c r="S11" s="1">
        <f>'5-Jahres-Projektion'!F46</f>
        <v>231635.7741620497</v>
      </c>
    </row>
    <row r="12" spans="1:26" ht="18" customHeight="1" x14ac:dyDescent="0.3">
      <c r="A12" s="47">
        <f>'5-Jahres-Projektion'!C3</f>
        <v>2027</v>
      </c>
      <c r="B12" s="48">
        <f>'5-Jahres-Projektion'!C49</f>
        <v>1220924.0653821961</v>
      </c>
      <c r="C12" s="24"/>
      <c r="D12" s="24"/>
      <c r="E12" s="47" t="s">
        <v>191</v>
      </c>
      <c r="F12" s="48">
        <f>'5-Jahres-Projektion'!M5</f>
        <v>282599.14087342087</v>
      </c>
      <c r="G12" s="24"/>
      <c r="H12" s="47" t="s">
        <v>321</v>
      </c>
      <c r="I12" s="48">
        <f>'5-Jahres-Projektion'!F46</f>
        <v>231635.7741620497</v>
      </c>
      <c r="J12" s="24"/>
      <c r="K12" s="24"/>
      <c r="L12" s="24"/>
      <c r="M12" s="24"/>
      <c r="N12" s="24"/>
      <c r="O12" s="24"/>
      <c r="P12" s="24"/>
      <c r="R12" s="1" t="s">
        <v>322</v>
      </c>
      <c r="S12" s="1">
        <f>'5-Jahres-Projektion'!F47</f>
        <v>315098.48117132403</v>
      </c>
    </row>
    <row r="13" spans="1:26" ht="18" customHeight="1" x14ac:dyDescent="0.3">
      <c r="A13" s="47">
        <f>'5-Jahres-Projektion'!D3</f>
        <v>2028</v>
      </c>
      <c r="B13" s="48">
        <f>'5-Jahres-Projektion'!D49</f>
        <v>1406509.8196036611</v>
      </c>
      <c r="C13" s="24"/>
      <c r="D13" s="24"/>
      <c r="E13" s="47" t="s">
        <v>192</v>
      </c>
      <c r="F13" s="48">
        <f>'5-Jahres-Projektion'!M6</f>
        <v>446141.40667084814</v>
      </c>
      <c r="G13" s="24"/>
      <c r="H13" s="47" t="s">
        <v>322</v>
      </c>
      <c r="I13" s="48">
        <f>'5-Jahres-Projektion'!F47</f>
        <v>315098.48117132403</v>
      </c>
      <c r="J13" s="24"/>
      <c r="K13" s="24"/>
      <c r="L13" s="24"/>
      <c r="M13" s="24"/>
      <c r="N13" s="24"/>
      <c r="O13" s="24"/>
      <c r="P13" s="24"/>
    </row>
    <row r="14" spans="1:26" ht="18" customHeight="1" x14ac:dyDescent="0.3">
      <c r="A14" s="47">
        <f>'5-Jahres-Projektion'!E3</f>
        <v>2029</v>
      </c>
      <c r="B14" s="48">
        <f>'5-Jahres-Projektion'!E49</f>
        <v>1550193.2624883004</v>
      </c>
      <c r="C14" s="24"/>
      <c r="D14" s="24"/>
      <c r="E14" s="47" t="s">
        <v>193</v>
      </c>
      <c r="F14" s="48">
        <f>'5-Jahres-Projektion'!M7</f>
        <v>690093.6642432001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R14" s="1">
        <f>'5-Jahres-Projektion'!B3</f>
        <v>2026</v>
      </c>
      <c r="S14" s="1">
        <f>'5-Jahres-Projektion'!C3</f>
        <v>2027</v>
      </c>
      <c r="T14" s="1">
        <f>'5-Jahres-Projektion'!D3</f>
        <v>2028</v>
      </c>
      <c r="U14" s="1">
        <f>'5-Jahres-Projektion'!E3</f>
        <v>2029</v>
      </c>
      <c r="V14" s="1">
        <f>'5-Jahres-Projektion'!F3</f>
        <v>2030</v>
      </c>
    </row>
    <row r="15" spans="1:26" ht="18" customHeight="1" x14ac:dyDescent="0.3">
      <c r="A15" s="47">
        <f>'5-Jahres-Projektion'!F3</f>
        <v>2030</v>
      </c>
      <c r="B15" s="48">
        <f>'5-Jahres-Projektion'!F49</f>
        <v>1746973.1988196003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R15" s="1">
        <f>IF('5-Jahres-Projektion'!B48&gt;0,'5-Jahres-Projektion'!B62/'5-Jahres-Projektion'!B48,0)</f>
        <v>2.218867837979229</v>
      </c>
      <c r="S15" s="1">
        <f>IF('5-Jahres-Projektion'!C48&gt;0,'5-Jahres-Projektion'!C62/'5-Jahres-Projektion'!C48,0)</f>
        <v>2.0487885227431577</v>
      </c>
      <c r="T15" s="1">
        <f>IF('5-Jahres-Projektion'!D48&gt;0,'5-Jahres-Projektion'!D62/'5-Jahres-Projektion'!D48,0)</f>
        <v>2.1008547665272941</v>
      </c>
      <c r="U15" s="1">
        <f>IF('5-Jahres-Projektion'!E48&gt;0,'5-Jahres-Projektion'!E62/'5-Jahres-Projektion'!E48,0)</f>
        <v>2.3990754992033545</v>
      </c>
      <c r="V15" s="1">
        <f>IF('5-Jahres-Projektion'!F48&gt;0,'5-Jahres-Projektion'!F62/'5-Jahres-Projektion'!F48,0)</f>
        <v>1.9258177001911629</v>
      </c>
    </row>
    <row r="16" spans="1:26" ht="18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22" ht="18" customHeight="1" x14ac:dyDescent="0.3">
      <c r="A17" s="49" t="s">
        <v>365</v>
      </c>
      <c r="B17" s="50"/>
      <c r="C17" s="50"/>
      <c r="D17" s="50"/>
      <c r="E17" s="50"/>
      <c r="F17" s="50"/>
      <c r="G17" s="50"/>
      <c r="H17" s="50"/>
      <c r="I17" s="37"/>
      <c r="J17" s="24"/>
      <c r="K17" s="24"/>
      <c r="L17" s="24"/>
      <c r="M17" s="24"/>
      <c r="N17" s="24"/>
      <c r="O17" s="24"/>
      <c r="P17" s="24"/>
      <c r="R17" s="1">
        <f>'5-Jahres-Projektion'!B3</f>
        <v>2026</v>
      </c>
      <c r="S17" s="1">
        <f>'5-Jahres-Projektion'!C3</f>
        <v>2027</v>
      </c>
      <c r="T17" s="1">
        <f>'5-Jahres-Projektion'!D3</f>
        <v>2028</v>
      </c>
      <c r="U17" s="1">
        <f>'5-Jahres-Projektion'!E3</f>
        <v>2029</v>
      </c>
      <c r="V17" s="1">
        <f>'5-Jahres-Projektion'!F3</f>
        <v>2030</v>
      </c>
    </row>
    <row r="18" spans="1:22" ht="18" customHeight="1" x14ac:dyDescent="0.3">
      <c r="A18" s="51"/>
      <c r="B18" s="29"/>
      <c r="C18" s="29"/>
      <c r="D18" s="29"/>
      <c r="E18" s="29"/>
      <c r="F18" s="29"/>
      <c r="G18" s="29"/>
      <c r="H18" s="29"/>
      <c r="I18" s="52"/>
      <c r="J18" s="24"/>
      <c r="K18" s="24"/>
      <c r="L18" s="24"/>
      <c r="M18" s="24"/>
      <c r="N18" s="24"/>
      <c r="O18" s="24"/>
      <c r="P18" s="24"/>
      <c r="R18" s="1">
        <f>'5-Jahres-Projektion'!B56</f>
        <v>3</v>
      </c>
      <c r="S18" s="1">
        <f>'5-Jahres-Projektion'!C56</f>
        <v>3</v>
      </c>
      <c r="T18" s="1">
        <f>'5-Jahres-Projektion'!D56</f>
        <v>3</v>
      </c>
      <c r="U18" s="1">
        <f>'5-Jahres-Projektion'!E56</f>
        <v>3</v>
      </c>
      <c r="V18" s="1">
        <f>'5-Jahres-Projektion'!F56</f>
        <v>3</v>
      </c>
    </row>
    <row r="19" spans="1:22" ht="18" customHeight="1" x14ac:dyDescent="0.3">
      <c r="A19" s="41"/>
      <c r="B19" s="53"/>
      <c r="C19" s="53"/>
      <c r="D19" s="53"/>
      <c r="E19" s="53"/>
      <c r="F19" s="53"/>
      <c r="G19" s="53"/>
      <c r="H19" s="53"/>
      <c r="I19" s="42"/>
      <c r="J19" s="24"/>
      <c r="K19" s="24"/>
      <c r="L19" s="24"/>
      <c r="M19" s="24"/>
      <c r="N19" s="24"/>
      <c r="O19" s="24"/>
      <c r="P19" s="24"/>
      <c r="R19" s="1">
        <f>'5-Jahres-Projektion'!B58</f>
        <v>1</v>
      </c>
      <c r="S19" s="1">
        <f>'5-Jahres-Projektion'!C58</f>
        <v>1</v>
      </c>
      <c r="T19" s="1">
        <f>'5-Jahres-Projektion'!D58</f>
        <v>1</v>
      </c>
      <c r="U19" s="1">
        <f>'5-Jahres-Projektion'!E58</f>
        <v>1</v>
      </c>
      <c r="V19" s="1">
        <f>'5-Jahres-Projektion'!F58</f>
        <v>1</v>
      </c>
    </row>
    <row r="20" spans="1:22" ht="18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22" ht="18" customHeight="1" x14ac:dyDescent="0.25">
      <c r="A21" s="54" t="s">
        <v>366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3"/>
    </row>
    <row r="22" spans="1:22" ht="18" customHeight="1" x14ac:dyDescent="0.25">
      <c r="A22" s="55" t="s">
        <v>367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37"/>
    </row>
    <row r="23" spans="1:22" ht="18" customHeight="1" x14ac:dyDescent="0.25">
      <c r="A23" s="5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52"/>
    </row>
    <row r="24" spans="1:22" ht="18" customHeight="1" x14ac:dyDescent="0.25">
      <c r="A24" s="41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42"/>
    </row>
    <row r="25" spans="1:22" ht="18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2" ht="21.75" customHeight="1" x14ac:dyDescent="0.25">
      <c r="A26" s="46" t="s">
        <v>280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3"/>
    </row>
    <row r="27" spans="1:22" ht="18" customHeight="1" x14ac:dyDescent="0.25">
      <c r="A27" s="56" t="s">
        <v>189</v>
      </c>
      <c r="B27" s="56" t="s">
        <v>283</v>
      </c>
      <c r="C27" s="56" t="s">
        <v>69</v>
      </c>
      <c r="D27" s="56" t="s">
        <v>285</v>
      </c>
      <c r="E27" s="56" t="s">
        <v>287</v>
      </c>
      <c r="F27" s="56" t="s">
        <v>289</v>
      </c>
      <c r="G27" s="56" t="s">
        <v>290</v>
      </c>
      <c r="H27" s="56" t="s">
        <v>64</v>
      </c>
      <c r="I27" s="56" t="s">
        <v>368</v>
      </c>
      <c r="J27" s="54" t="s">
        <v>369</v>
      </c>
      <c r="K27" s="35"/>
      <c r="L27" s="35"/>
      <c r="M27" s="35"/>
      <c r="N27" s="35"/>
      <c r="O27" s="35"/>
      <c r="P27" s="33"/>
    </row>
    <row r="28" spans="1:22" ht="18" customHeight="1" x14ac:dyDescent="0.3">
      <c r="A28" s="47" t="str">
        <f>'Unit Economics'!A4</f>
        <v>Basic</v>
      </c>
      <c r="B28" s="48">
        <f>'Unit Economics'!D4</f>
        <v>205.20000000000002</v>
      </c>
      <c r="C28" s="57">
        <f>'Unit Economics'!E4</f>
        <v>0.78</v>
      </c>
      <c r="D28" s="57">
        <f>'Unit Economics'!G4</f>
        <v>0.04</v>
      </c>
      <c r="E28" s="48">
        <f>'Unit Economics'!I4</f>
        <v>4001.4</v>
      </c>
      <c r="F28" s="48">
        <f>'Unit Economics'!K4</f>
        <v>1440.5040000000001</v>
      </c>
      <c r="G28" s="48">
        <f>'Unit Economics'!L4</f>
        <v>1008.3528</v>
      </c>
      <c r="H28" s="58">
        <f>'Unit Economics'!M4</f>
        <v>3.9682539682539684</v>
      </c>
      <c r="I28" s="59">
        <f>'Unit Economics'!J4</f>
        <v>9</v>
      </c>
      <c r="J28" s="55" t="s">
        <v>370</v>
      </c>
      <c r="K28" s="50"/>
      <c r="L28" s="50"/>
      <c r="M28" s="50"/>
      <c r="N28" s="50"/>
      <c r="O28" s="50"/>
      <c r="P28" s="37"/>
    </row>
    <row r="29" spans="1:22" ht="18" customHeight="1" x14ac:dyDescent="0.3">
      <c r="A29" s="47" t="str">
        <f>'Unit Economics'!A5</f>
        <v>Business</v>
      </c>
      <c r="B29" s="48">
        <f>'Unit Economics'!D5</f>
        <v>429.00000000000006</v>
      </c>
      <c r="C29" s="57">
        <f>'Unit Economics'!E5</f>
        <v>0.8</v>
      </c>
      <c r="D29" s="57">
        <f>'Unit Economics'!G5</f>
        <v>0.03</v>
      </c>
      <c r="E29" s="48">
        <f>'Unit Economics'!I5</f>
        <v>11440.000000000002</v>
      </c>
      <c r="F29" s="48">
        <f>'Unit Economics'!K5</f>
        <v>3088.8</v>
      </c>
      <c r="G29" s="48">
        <f>'Unit Economics'!L5</f>
        <v>2223.9360000000001</v>
      </c>
      <c r="H29" s="58">
        <f>'Unit Economics'!M5</f>
        <v>5.1440329218106999</v>
      </c>
      <c r="I29" s="59">
        <f>'Unit Economics'!J5</f>
        <v>9</v>
      </c>
      <c r="J29" s="51"/>
      <c r="K29" s="29"/>
      <c r="L29" s="29"/>
      <c r="M29" s="29"/>
      <c r="N29" s="29"/>
      <c r="O29" s="29"/>
      <c r="P29" s="52"/>
    </row>
    <row r="30" spans="1:22" ht="18" customHeight="1" x14ac:dyDescent="0.25">
      <c r="A30" s="60" t="str">
        <f>'Unit Economics'!A6</f>
        <v>Professional</v>
      </c>
      <c r="B30" s="61">
        <f>'Unit Economics'!D6</f>
        <v>884.80000000000007</v>
      </c>
      <c r="C30" s="62">
        <f>'Unit Economics'!E6</f>
        <v>0.82</v>
      </c>
      <c r="D30" s="62">
        <f>'Unit Economics'!G6</f>
        <v>2.5000000000000001E-2</v>
      </c>
      <c r="E30" s="61">
        <f>'Unit Economics'!I6</f>
        <v>29021.440000000002</v>
      </c>
      <c r="F30" s="61">
        <f>'Unit Economics'!K6</f>
        <v>8706.4320000000007</v>
      </c>
      <c r="G30" s="61">
        <f>'Unit Economics'!L6</f>
        <v>6529.8240000000005</v>
      </c>
      <c r="H30" s="63">
        <f>'Unit Economics'!M6</f>
        <v>4.4444444444444446</v>
      </c>
      <c r="I30" s="64">
        <f>'Unit Economics'!J6</f>
        <v>12</v>
      </c>
      <c r="J30" s="51"/>
      <c r="K30" s="29"/>
      <c r="L30" s="29"/>
      <c r="M30" s="29"/>
      <c r="N30" s="29"/>
      <c r="O30" s="29"/>
      <c r="P30" s="52"/>
    </row>
    <row r="31" spans="1:22" ht="18" customHeight="1" x14ac:dyDescent="0.3">
      <c r="A31" s="47" t="str">
        <f>'Unit Economics'!A7</f>
        <v>Enterprise</v>
      </c>
      <c r="B31" s="48">
        <f>'Unit Economics'!D7</f>
        <v>4024.9999999999995</v>
      </c>
      <c r="C31" s="57">
        <f>'Unit Economics'!E7</f>
        <v>0.8</v>
      </c>
      <c r="D31" s="57">
        <f>'Unit Economics'!G7</f>
        <v>1.4999999999999999E-2</v>
      </c>
      <c r="E31" s="48">
        <f>'Unit Economics'!I7</f>
        <v>214666.66666666669</v>
      </c>
      <c r="F31" s="48">
        <f>'Unit Economics'!K7</f>
        <v>38640</v>
      </c>
      <c r="G31" s="48">
        <f>'Unit Economics'!L7</f>
        <v>27048</v>
      </c>
      <c r="H31" s="58">
        <f>'Unit Economics'!M7</f>
        <v>7.9365079365079376</v>
      </c>
      <c r="I31" s="59">
        <f>'Unit Economics'!J7</f>
        <v>12</v>
      </c>
      <c r="J31" s="51"/>
      <c r="K31" s="29"/>
      <c r="L31" s="29"/>
      <c r="M31" s="29"/>
      <c r="N31" s="29"/>
      <c r="O31" s="29"/>
      <c r="P31" s="52"/>
    </row>
    <row r="32" spans="1:22" ht="18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41"/>
      <c r="K32" s="53"/>
      <c r="L32" s="53"/>
      <c r="M32" s="53"/>
      <c r="N32" s="53"/>
      <c r="O32" s="53"/>
      <c r="P32" s="42"/>
    </row>
    <row r="33" spans="1:16" ht="18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21.75" customHeight="1" x14ac:dyDescent="0.25">
      <c r="A34" s="46" t="s">
        <v>371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3"/>
    </row>
    <row r="35" spans="1:16" ht="18" customHeight="1" x14ac:dyDescent="0.3">
      <c r="A35" s="32" t="s">
        <v>372</v>
      </c>
      <c r="B35" s="35"/>
      <c r="C35" s="35"/>
      <c r="D35" s="33"/>
      <c r="E35" s="32" t="s">
        <v>373</v>
      </c>
      <c r="F35" s="35"/>
      <c r="G35" s="35"/>
      <c r="H35" s="33"/>
      <c r="I35" s="24"/>
      <c r="J35" s="24"/>
      <c r="K35" s="24"/>
      <c r="L35" s="24"/>
      <c r="M35" s="24"/>
      <c r="N35" s="24"/>
      <c r="O35" s="24"/>
      <c r="P35" s="24"/>
    </row>
    <row r="36" spans="1:16" ht="18" customHeight="1" x14ac:dyDescent="0.3">
      <c r="A36" s="38">
        <f>IF('5-Jahres-Projektion'!F44&gt;0,'5-Jahres-Projektion'!F47/'5-Jahres-Projektion'!F44,0)</f>
        <v>0.21618842306551345</v>
      </c>
      <c r="B36" s="50"/>
      <c r="C36" s="50"/>
      <c r="D36" s="37"/>
      <c r="E36" s="38">
        <f>IF('5-Jahres-Projektion'!F44&gt;0,('5-Jahres-Projektion'!F44-'5-Jahres-Projektion'!F47+'5-Jahres-Projektion'!F46)/'5-Jahres-Projektion'!F44,0)</f>
        <v>0.94273640753189369</v>
      </c>
      <c r="F36" s="50"/>
      <c r="G36" s="50"/>
      <c r="H36" s="37"/>
      <c r="I36" s="24"/>
      <c r="J36" s="24"/>
      <c r="K36" s="24"/>
      <c r="L36" s="24"/>
      <c r="M36" s="24"/>
      <c r="N36" s="24"/>
      <c r="O36" s="24"/>
      <c r="P36" s="24"/>
    </row>
    <row r="37" spans="1:16" ht="18" customHeight="1" x14ac:dyDescent="0.3">
      <c r="A37" s="41"/>
      <c r="B37" s="53"/>
      <c r="C37" s="53"/>
      <c r="D37" s="42"/>
      <c r="E37" s="41"/>
      <c r="F37" s="53"/>
      <c r="G37" s="53"/>
      <c r="H37" s="42"/>
      <c r="I37" s="24"/>
      <c r="J37" s="24"/>
      <c r="K37" s="24"/>
      <c r="L37" s="24"/>
      <c r="M37" s="24"/>
      <c r="N37" s="24"/>
      <c r="O37" s="24"/>
      <c r="P37" s="24"/>
    </row>
    <row r="38" spans="1:16" ht="18" customHeight="1" x14ac:dyDescent="0.3">
      <c r="A38" s="44" t="s">
        <v>374</v>
      </c>
      <c r="B38" s="35"/>
      <c r="C38" s="35"/>
      <c r="D38" s="33"/>
      <c r="E38" s="44" t="s">
        <v>375</v>
      </c>
      <c r="F38" s="35"/>
      <c r="G38" s="35"/>
      <c r="H38" s="33"/>
      <c r="I38" s="24"/>
      <c r="J38" s="24"/>
      <c r="K38" s="24"/>
      <c r="L38" s="24"/>
      <c r="M38" s="24"/>
      <c r="N38" s="24"/>
      <c r="O38" s="24"/>
      <c r="P38" s="24"/>
    </row>
    <row r="39" spans="1:16" ht="18" customHeight="1" x14ac:dyDescent="0.3">
      <c r="A39" s="54" t="s">
        <v>376</v>
      </c>
      <c r="B39" s="35"/>
      <c r="C39" s="35"/>
      <c r="D39" s="35"/>
      <c r="E39" s="35"/>
      <c r="F39" s="35"/>
      <c r="G39" s="35"/>
      <c r="H39" s="33"/>
      <c r="I39" s="24"/>
      <c r="J39" s="24"/>
      <c r="K39" s="24"/>
      <c r="L39" s="24"/>
      <c r="M39" s="24"/>
      <c r="N39" s="24"/>
      <c r="O39" s="24"/>
      <c r="P39" s="24"/>
    </row>
    <row r="40" spans="1:16" ht="18" customHeight="1" x14ac:dyDescent="0.3">
      <c r="A40" s="55" t="s">
        <v>377</v>
      </c>
      <c r="B40" s="50"/>
      <c r="C40" s="50"/>
      <c r="D40" s="50"/>
      <c r="E40" s="50"/>
      <c r="F40" s="50"/>
      <c r="G40" s="50"/>
      <c r="H40" s="37"/>
      <c r="I40" s="24"/>
      <c r="J40" s="24"/>
      <c r="K40" s="24"/>
      <c r="L40" s="24"/>
      <c r="M40" s="24"/>
      <c r="N40" s="24"/>
      <c r="O40" s="24"/>
      <c r="P40" s="24"/>
    </row>
    <row r="41" spans="1:16" ht="18" customHeight="1" x14ac:dyDescent="0.3">
      <c r="A41" s="51"/>
      <c r="B41" s="29"/>
      <c r="C41" s="29"/>
      <c r="D41" s="29"/>
      <c r="E41" s="29"/>
      <c r="F41" s="29"/>
      <c r="G41" s="29"/>
      <c r="H41" s="52"/>
      <c r="I41" s="24"/>
      <c r="J41" s="24"/>
      <c r="K41" s="24"/>
      <c r="L41" s="24"/>
      <c r="M41" s="24"/>
      <c r="N41" s="24"/>
      <c r="O41" s="24"/>
      <c r="P41" s="24"/>
    </row>
    <row r="42" spans="1:16" ht="18" customHeight="1" x14ac:dyDescent="0.3">
      <c r="A42" s="51"/>
      <c r="B42" s="29"/>
      <c r="C42" s="29"/>
      <c r="D42" s="29"/>
      <c r="E42" s="29"/>
      <c r="F42" s="29"/>
      <c r="G42" s="29"/>
      <c r="H42" s="52"/>
      <c r="I42" s="24"/>
      <c r="J42" s="24"/>
      <c r="K42" s="24"/>
      <c r="L42" s="24"/>
      <c r="M42" s="24"/>
      <c r="N42" s="24"/>
      <c r="O42" s="24"/>
      <c r="P42" s="24"/>
    </row>
    <row r="43" spans="1:16" ht="18" customHeight="1" x14ac:dyDescent="0.3">
      <c r="A43" s="51"/>
      <c r="B43" s="29"/>
      <c r="C43" s="29"/>
      <c r="D43" s="29"/>
      <c r="E43" s="29"/>
      <c r="F43" s="29"/>
      <c r="G43" s="29"/>
      <c r="H43" s="52"/>
      <c r="I43" s="24"/>
      <c r="J43" s="24"/>
      <c r="K43" s="24"/>
      <c r="L43" s="24"/>
      <c r="M43" s="24"/>
      <c r="N43" s="24"/>
      <c r="O43" s="24"/>
      <c r="P43" s="24"/>
    </row>
    <row r="44" spans="1:16" ht="18" customHeight="1" x14ac:dyDescent="0.3">
      <c r="A44" s="41"/>
      <c r="B44" s="53"/>
      <c r="C44" s="53"/>
      <c r="D44" s="53"/>
      <c r="E44" s="53"/>
      <c r="F44" s="53"/>
      <c r="G44" s="53"/>
      <c r="H44" s="42"/>
      <c r="I44" s="24"/>
      <c r="J44" s="24"/>
      <c r="K44" s="24"/>
      <c r="L44" s="24"/>
      <c r="M44" s="24"/>
      <c r="N44" s="24"/>
      <c r="O44" s="24"/>
      <c r="P44" s="24"/>
    </row>
    <row r="45" spans="1:16" ht="18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21.75" customHeight="1" x14ac:dyDescent="0.25">
      <c r="A46" s="46" t="s">
        <v>378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3"/>
    </row>
    <row r="47" spans="1:16" ht="18" customHeight="1" x14ac:dyDescent="0.25">
      <c r="A47" s="32" t="s">
        <v>379</v>
      </c>
      <c r="B47" s="35"/>
      <c r="C47" s="35"/>
      <c r="D47" s="33"/>
      <c r="E47" s="32" t="s">
        <v>380</v>
      </c>
      <c r="F47" s="35"/>
      <c r="G47" s="35"/>
      <c r="H47" s="33"/>
      <c r="I47" s="32" t="s">
        <v>381</v>
      </c>
      <c r="J47" s="35"/>
      <c r="K47" s="35"/>
      <c r="L47" s="33"/>
      <c r="M47" s="32" t="s">
        <v>382</v>
      </c>
      <c r="N47" s="35"/>
      <c r="O47" s="35"/>
      <c r="P47" s="33"/>
    </row>
    <row r="48" spans="1:16" ht="18" customHeight="1" x14ac:dyDescent="0.25">
      <c r="A48" s="65">
        <f>'5-Jahres-Projektion'!F56</f>
        <v>3</v>
      </c>
      <c r="B48" s="50"/>
      <c r="C48" s="50"/>
      <c r="D48" s="37"/>
      <c r="E48" s="65">
        <f>'5-Jahres-Projektion'!F58</f>
        <v>1</v>
      </c>
      <c r="F48" s="50"/>
      <c r="G48" s="50"/>
      <c r="H48" s="37"/>
      <c r="I48" s="36">
        <f>'5-Jahres-Projektion'!F59</f>
        <v>1544625.5000000005</v>
      </c>
      <c r="J48" s="50"/>
      <c r="K48" s="50"/>
      <c r="L48" s="37"/>
      <c r="M48" s="65" t="str">
        <f>IF(OR('5-Jahres-Projektion'!F56&gt;Annahmen!$C$61,'5-Jahres-Projektion'!F58&gt;Annahmen!$C$62),"INADEQUATE","ADEQUATE")</f>
        <v>INADEQUATE</v>
      </c>
      <c r="N48" s="50"/>
      <c r="O48" s="50"/>
      <c r="P48" s="37"/>
    </row>
    <row r="49" spans="1:16" ht="18" customHeight="1" x14ac:dyDescent="0.25">
      <c r="A49" s="41"/>
      <c r="B49" s="53"/>
      <c r="C49" s="53"/>
      <c r="D49" s="42"/>
      <c r="E49" s="41"/>
      <c r="F49" s="53"/>
      <c r="G49" s="53"/>
      <c r="H49" s="42"/>
      <c r="I49" s="41"/>
      <c r="J49" s="53"/>
      <c r="K49" s="53"/>
      <c r="L49" s="42"/>
      <c r="M49" s="41"/>
      <c r="N49" s="53"/>
      <c r="O49" s="53"/>
      <c r="P49" s="42"/>
    </row>
    <row r="50" spans="1:16" ht="18" customHeight="1" x14ac:dyDescent="0.25">
      <c r="A50" s="44" t="s">
        <v>383</v>
      </c>
      <c r="B50" s="35"/>
      <c r="C50" s="35"/>
      <c r="D50" s="33"/>
      <c r="E50" s="44" t="s">
        <v>384</v>
      </c>
      <c r="F50" s="35"/>
      <c r="G50" s="35"/>
      <c r="H50" s="33"/>
      <c r="I50" s="44" t="s">
        <v>385</v>
      </c>
      <c r="J50" s="35"/>
      <c r="K50" s="35"/>
      <c r="L50" s="33"/>
      <c r="M50" s="44" t="s">
        <v>386</v>
      </c>
      <c r="N50" s="35"/>
      <c r="O50" s="35"/>
      <c r="P50" s="33"/>
    </row>
    <row r="51" spans="1:16" ht="18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54" t="s">
        <v>387</v>
      </c>
      <c r="K51" s="35"/>
      <c r="L51" s="35"/>
      <c r="M51" s="35"/>
      <c r="N51" s="35"/>
      <c r="O51" s="35"/>
      <c r="P51" s="33"/>
    </row>
    <row r="52" spans="1:16" ht="18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55" t="s">
        <v>388</v>
      </c>
      <c r="K52" s="50"/>
      <c r="L52" s="50"/>
      <c r="M52" s="50"/>
      <c r="N52" s="50"/>
      <c r="O52" s="50"/>
      <c r="P52" s="37"/>
    </row>
    <row r="53" spans="1:16" ht="18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51"/>
      <c r="K53" s="29"/>
      <c r="L53" s="29"/>
      <c r="M53" s="29"/>
      <c r="N53" s="29"/>
      <c r="O53" s="29"/>
      <c r="P53" s="52"/>
    </row>
    <row r="54" spans="1:16" ht="18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51"/>
      <c r="K54" s="29"/>
      <c r="L54" s="29"/>
      <c r="M54" s="29"/>
      <c r="N54" s="29"/>
      <c r="O54" s="29"/>
      <c r="P54" s="52"/>
    </row>
    <row r="55" spans="1:16" ht="18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51"/>
      <c r="K55" s="29"/>
      <c r="L55" s="29"/>
      <c r="M55" s="29"/>
      <c r="N55" s="29"/>
      <c r="O55" s="29"/>
      <c r="P55" s="52"/>
    </row>
    <row r="56" spans="1:16" ht="18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41"/>
      <c r="K56" s="53"/>
      <c r="L56" s="53"/>
      <c r="M56" s="53"/>
      <c r="N56" s="53"/>
      <c r="O56" s="53"/>
      <c r="P56" s="42"/>
    </row>
    <row r="57" spans="1:16" ht="18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21.75" customHeight="1" x14ac:dyDescent="0.25">
      <c r="A58" s="46" t="s">
        <v>87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3"/>
    </row>
    <row r="59" spans="1:16" ht="18" customHeight="1" x14ac:dyDescent="0.25">
      <c r="A59" s="32" t="s">
        <v>389</v>
      </c>
      <c r="B59" s="35"/>
      <c r="C59" s="35"/>
      <c r="D59" s="33"/>
      <c r="E59" s="32" t="s">
        <v>390</v>
      </c>
      <c r="F59" s="35"/>
      <c r="G59" s="35"/>
      <c r="H59" s="33"/>
      <c r="I59" s="32" t="s">
        <v>350</v>
      </c>
      <c r="J59" s="35"/>
      <c r="K59" s="35"/>
      <c r="L59" s="33"/>
      <c r="M59" s="54" t="s">
        <v>391</v>
      </c>
      <c r="N59" s="35"/>
      <c r="O59" s="35"/>
      <c r="P59" s="33"/>
    </row>
    <row r="60" spans="1:16" ht="18" customHeight="1" x14ac:dyDescent="0.25">
      <c r="A60" s="36">
        <f>'5-Jahres-Projektion'!F53</f>
        <v>154569.44256</v>
      </c>
      <c r="B60" s="50"/>
      <c r="C60" s="50"/>
      <c r="D60" s="37"/>
      <c r="E60" s="36">
        <f>'5-Jahres-Projektion'!F62</f>
        <v>557438.27345642308</v>
      </c>
      <c r="F60" s="50"/>
      <c r="G60" s="50"/>
      <c r="H60" s="37"/>
      <c r="I60" s="39">
        <f>IF('5-Jahres-Projektion'!F48&gt;0,'5-Jahres-Projektion'!F62/'5-Jahres-Projektion'!F48,0)</f>
        <v>1.9258177001911629</v>
      </c>
      <c r="J60" s="50"/>
      <c r="K60" s="50"/>
      <c r="L60" s="37"/>
      <c r="M60" s="55" t="s">
        <v>392</v>
      </c>
      <c r="N60" s="50"/>
      <c r="O60" s="50"/>
      <c r="P60" s="37"/>
    </row>
    <row r="61" spans="1:16" ht="18" customHeight="1" x14ac:dyDescent="0.25">
      <c r="A61" s="41"/>
      <c r="B61" s="53"/>
      <c r="C61" s="53"/>
      <c r="D61" s="42"/>
      <c r="E61" s="41"/>
      <c r="F61" s="53"/>
      <c r="G61" s="53"/>
      <c r="H61" s="42"/>
      <c r="I61" s="41"/>
      <c r="J61" s="53"/>
      <c r="K61" s="53"/>
      <c r="L61" s="42"/>
      <c r="M61" s="41"/>
      <c r="N61" s="53"/>
      <c r="O61" s="53"/>
      <c r="P61" s="42"/>
    </row>
    <row r="62" spans="1:16" ht="18" customHeight="1" x14ac:dyDescent="0.3">
      <c r="A62" s="44" t="s">
        <v>393</v>
      </c>
      <c r="B62" s="35"/>
      <c r="C62" s="35"/>
      <c r="D62" s="33"/>
      <c r="E62" s="44" t="s">
        <v>394</v>
      </c>
      <c r="F62" s="35"/>
      <c r="G62" s="35"/>
      <c r="H62" s="33"/>
      <c r="I62" s="44" t="s">
        <v>358</v>
      </c>
      <c r="J62" s="35"/>
      <c r="K62" s="35"/>
      <c r="L62" s="33"/>
      <c r="M62" s="24"/>
      <c r="N62" s="24"/>
      <c r="O62" s="24"/>
      <c r="P62" s="24"/>
    </row>
    <row r="63" spans="1:16" ht="18" customHeigh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8" customHeigh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8" customHeigh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8" customHeigh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8" customHeigh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8" customHeight="1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8" customHeight="1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21.75" customHeight="1" x14ac:dyDescent="0.25">
      <c r="A70" s="46" t="s">
        <v>395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3"/>
    </row>
    <row r="71" spans="1:16" ht="18" customHeight="1" x14ac:dyDescent="0.3">
      <c r="A71" s="56" t="s">
        <v>396</v>
      </c>
      <c r="B71" s="56" t="s">
        <v>19</v>
      </c>
      <c r="C71" s="56" t="s">
        <v>397</v>
      </c>
      <c r="D71" s="56" t="s">
        <v>352</v>
      </c>
      <c r="E71" s="56" t="s">
        <v>353</v>
      </c>
      <c r="F71" s="24"/>
      <c r="G71" s="54" t="s">
        <v>398</v>
      </c>
      <c r="H71" s="35"/>
      <c r="I71" s="35"/>
      <c r="J71" s="35"/>
      <c r="K71" s="35"/>
      <c r="L71" s="35"/>
      <c r="M71" s="35"/>
      <c r="N71" s="35"/>
      <c r="O71" s="35"/>
      <c r="P71" s="33"/>
    </row>
    <row r="72" spans="1:16" ht="18" customHeight="1" x14ac:dyDescent="0.3">
      <c r="A72" s="135">
        <f>'5-Jahres-Projektion'!B3</f>
        <v>2026</v>
      </c>
      <c r="B72" s="136">
        <f>'5-Jahres-Projektion'!B49</f>
        <v>1009318.2494674225</v>
      </c>
      <c r="C72" s="136">
        <f>'5-Jahres-Projektion'!B63</f>
        <v>8074545.9957393799</v>
      </c>
      <c r="D72" s="136">
        <f>'5-Jahres-Projektion'!B64</f>
        <v>10093182.494674224</v>
      </c>
      <c r="E72" s="136">
        <f>'5-Jahres-Projektion'!B65</f>
        <v>12111818.993609071</v>
      </c>
      <c r="F72" s="24"/>
      <c r="G72" s="55" t="s">
        <v>399</v>
      </c>
      <c r="H72" s="50"/>
      <c r="I72" s="50"/>
      <c r="J72" s="50"/>
      <c r="K72" s="50"/>
      <c r="L72" s="50"/>
      <c r="M72" s="50"/>
      <c r="N72" s="50"/>
      <c r="O72" s="50"/>
      <c r="P72" s="37"/>
    </row>
    <row r="73" spans="1:16" ht="18" customHeight="1" x14ac:dyDescent="0.3">
      <c r="A73" s="135">
        <f>'5-Jahres-Projektion'!C3</f>
        <v>2027</v>
      </c>
      <c r="B73" s="136">
        <f>'5-Jahres-Projektion'!C49</f>
        <v>1220924.0653821961</v>
      </c>
      <c r="C73" s="136">
        <f>'5-Jahres-Projektion'!C63</f>
        <v>9767392.5230575688</v>
      </c>
      <c r="D73" s="136">
        <f>'5-Jahres-Projektion'!C64</f>
        <v>12209240.65382196</v>
      </c>
      <c r="E73" s="136">
        <f>'5-Jahres-Projektion'!C65</f>
        <v>14651088.784586353</v>
      </c>
      <c r="F73" s="24"/>
      <c r="G73" s="51"/>
      <c r="H73" s="29"/>
      <c r="I73" s="29"/>
      <c r="J73" s="29"/>
      <c r="K73" s="29"/>
      <c r="L73" s="29"/>
      <c r="M73" s="29"/>
      <c r="N73" s="29"/>
      <c r="O73" s="29"/>
      <c r="P73" s="52"/>
    </row>
    <row r="74" spans="1:16" ht="18" customHeight="1" x14ac:dyDescent="0.3">
      <c r="A74" s="135">
        <f>'5-Jahres-Projektion'!D3</f>
        <v>2028</v>
      </c>
      <c r="B74" s="136">
        <f>'5-Jahres-Projektion'!D49</f>
        <v>1406509.8196036611</v>
      </c>
      <c r="C74" s="136">
        <f>'5-Jahres-Projektion'!D63</f>
        <v>11252078.556829289</v>
      </c>
      <c r="D74" s="136">
        <f>'5-Jahres-Projektion'!D64</f>
        <v>14065098.196036611</v>
      </c>
      <c r="E74" s="136">
        <f>'5-Jahres-Projektion'!D65</f>
        <v>16878117.835243933</v>
      </c>
      <c r="F74" s="24"/>
      <c r="G74" s="51"/>
      <c r="H74" s="29"/>
      <c r="I74" s="29"/>
      <c r="J74" s="29"/>
      <c r="K74" s="29"/>
      <c r="L74" s="29"/>
      <c r="M74" s="29"/>
      <c r="N74" s="29"/>
      <c r="O74" s="29"/>
      <c r="P74" s="52"/>
    </row>
    <row r="75" spans="1:16" ht="18" customHeight="1" x14ac:dyDescent="0.3">
      <c r="A75" s="135">
        <f>'5-Jahres-Projektion'!E3</f>
        <v>2029</v>
      </c>
      <c r="B75" s="136">
        <f>'5-Jahres-Projektion'!E49</f>
        <v>1550193.2624883004</v>
      </c>
      <c r="C75" s="136">
        <f>'5-Jahres-Projektion'!E63</f>
        <v>12401546.099906404</v>
      </c>
      <c r="D75" s="136">
        <f>'5-Jahres-Projektion'!E64</f>
        <v>15501932.624883004</v>
      </c>
      <c r="E75" s="136">
        <f>'5-Jahres-Projektion'!E65</f>
        <v>18602319.149859607</v>
      </c>
      <c r="F75" s="24"/>
      <c r="G75" s="51"/>
      <c r="H75" s="29"/>
      <c r="I75" s="29"/>
      <c r="J75" s="29"/>
      <c r="K75" s="29"/>
      <c r="L75" s="29"/>
      <c r="M75" s="29"/>
      <c r="N75" s="29"/>
      <c r="O75" s="29"/>
      <c r="P75" s="52"/>
    </row>
    <row r="76" spans="1:16" ht="18" customHeight="1" x14ac:dyDescent="0.3">
      <c r="A76" s="135">
        <f>'5-Jahres-Projektion'!F3</f>
        <v>2030</v>
      </c>
      <c r="B76" s="136">
        <f>'5-Jahres-Projektion'!F49</f>
        <v>1746973.1988196003</v>
      </c>
      <c r="C76" s="136">
        <f>'5-Jahres-Projektion'!F63</f>
        <v>13975785.590556802</v>
      </c>
      <c r="D76" s="136">
        <f>'5-Jahres-Projektion'!F64</f>
        <v>17469731.988196004</v>
      </c>
      <c r="E76" s="136">
        <f>'5-Jahres-Projektion'!F65</f>
        <v>20963678.385835204</v>
      </c>
      <c r="F76" s="24"/>
      <c r="G76" s="41"/>
      <c r="H76" s="53"/>
      <c r="I76" s="53"/>
      <c r="J76" s="53"/>
      <c r="K76" s="53"/>
      <c r="L76" s="53"/>
      <c r="M76" s="53"/>
      <c r="N76" s="53"/>
      <c r="O76" s="53"/>
      <c r="P76" s="42"/>
    </row>
    <row r="77" spans="1:16" ht="18" customHeight="1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21.75" customHeight="1" x14ac:dyDescent="0.25">
      <c r="A78" s="46" t="s">
        <v>400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3"/>
    </row>
    <row r="79" spans="1:16" ht="18" customHeight="1" x14ac:dyDescent="0.25">
      <c r="A79" s="54" t="s">
        <v>401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3"/>
    </row>
    <row r="80" spans="1:16" ht="18" customHeight="1" x14ac:dyDescent="0.25">
      <c r="A80" s="55" t="s">
        <v>402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37"/>
    </row>
    <row r="81" spans="1:16" ht="18" customHeight="1" x14ac:dyDescent="0.25">
      <c r="A81" s="5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52"/>
    </row>
    <row r="82" spans="1:16" ht="18" customHeight="1" x14ac:dyDescent="0.25">
      <c r="A82" s="5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52"/>
    </row>
    <row r="83" spans="1:16" ht="18" customHeight="1" x14ac:dyDescent="0.25">
      <c r="A83" s="5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52"/>
    </row>
    <row r="84" spans="1:16" ht="18" customHeight="1" x14ac:dyDescent="0.25">
      <c r="A84" s="41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42"/>
    </row>
    <row r="85" spans="1:16" ht="15" customHeight="1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" customHeight="1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" customHeight="1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</sheetData>
  <mergeCells count="77">
    <mergeCell ref="K4:P4"/>
    <mergeCell ref="I60:L61"/>
    <mergeCell ref="A2:P2"/>
    <mergeCell ref="G4:H4"/>
    <mergeCell ref="I4:J4"/>
    <mergeCell ref="A50:D50"/>
    <mergeCell ref="E59:H59"/>
    <mergeCell ref="A47:D47"/>
    <mergeCell ref="A4:B4"/>
    <mergeCell ref="C7:D7"/>
    <mergeCell ref="E7:F7"/>
    <mergeCell ref="E10:F10"/>
    <mergeCell ref="A17:I19"/>
    <mergeCell ref="M6:N6"/>
    <mergeCell ref="E35:H35"/>
    <mergeCell ref="C5:D6"/>
    <mergeCell ref="E5:F6"/>
    <mergeCell ref="A1:P1"/>
    <mergeCell ref="E38:H38"/>
    <mergeCell ref="A78:P78"/>
    <mergeCell ref="J28:P32"/>
    <mergeCell ref="A10:B10"/>
    <mergeCell ref="A21:P21"/>
    <mergeCell ref="K6:L6"/>
    <mergeCell ref="E48:H49"/>
    <mergeCell ref="A60:D61"/>
    <mergeCell ref="K5:L5"/>
    <mergeCell ref="G5:H6"/>
    <mergeCell ref="M5:N5"/>
    <mergeCell ref="I5:J6"/>
    <mergeCell ref="I59:L59"/>
    <mergeCell ref="M50:P50"/>
    <mergeCell ref="O5:P5"/>
    <mergeCell ref="A80:P84"/>
    <mergeCell ref="A35:D35"/>
    <mergeCell ref="A62:D62"/>
    <mergeCell ref="M60:P61"/>
    <mergeCell ref="E62:H62"/>
    <mergeCell ref="A79:P79"/>
    <mergeCell ref="G71:P71"/>
    <mergeCell ref="G72:P76"/>
    <mergeCell ref="M48:P49"/>
    <mergeCell ref="A70:P70"/>
    <mergeCell ref="I62:L62"/>
    <mergeCell ref="A48:D49"/>
    <mergeCell ref="A39:H39"/>
    <mergeCell ref="A38:D38"/>
    <mergeCell ref="I50:L50"/>
    <mergeCell ref="A58:P58"/>
    <mergeCell ref="E60:H61"/>
    <mergeCell ref="C4:D4"/>
    <mergeCell ref="E4:F4"/>
    <mergeCell ref="G7:H7"/>
    <mergeCell ref="I7:J7"/>
    <mergeCell ref="J52:P56"/>
    <mergeCell ref="M59:P59"/>
    <mergeCell ref="K7:P7"/>
    <mergeCell ref="I48:L49"/>
    <mergeCell ref="A34:P34"/>
    <mergeCell ref="A59:D59"/>
    <mergeCell ref="E50:H50"/>
    <mergeCell ref="I47:L47"/>
    <mergeCell ref="E36:H37"/>
    <mergeCell ref="J27:P27"/>
    <mergeCell ref="A46:P46"/>
    <mergeCell ref="H10:I10"/>
    <mergeCell ref="O6:P6"/>
    <mergeCell ref="A36:D37"/>
    <mergeCell ref="J51:P51"/>
    <mergeCell ref="A40:H44"/>
    <mergeCell ref="A7:B7"/>
    <mergeCell ref="A22:P24"/>
    <mergeCell ref="E47:H47"/>
    <mergeCell ref="A9:P9"/>
    <mergeCell ref="A5:B6"/>
    <mergeCell ref="M47:P47"/>
    <mergeCell ref="A26:P2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Hinweise</vt:lpstr>
      <vt:lpstr>Kennzahlen &amp; Definitionen</vt:lpstr>
      <vt:lpstr>Bekannte Eingaben</vt:lpstr>
      <vt:lpstr>Annahmen</vt:lpstr>
      <vt:lpstr>homie Eingaben</vt:lpstr>
      <vt:lpstr>Unit Economics</vt:lpstr>
      <vt:lpstr>5-Jahres-Projektion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Azevedo</cp:lastModifiedBy>
  <cp:revision>0</cp:revision>
  <dcterms:created xsi:type="dcterms:W3CDTF">2026-03-06T15:52:51Z</dcterms:created>
  <dcterms:modified xsi:type="dcterms:W3CDTF">2026-03-13T11:53:20Z</dcterms:modified>
  <dc:language>en-US</dc:language>
</cp:coreProperties>
</file>